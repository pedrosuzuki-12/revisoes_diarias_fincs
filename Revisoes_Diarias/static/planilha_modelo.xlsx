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uentes 06 - 0909" sheetId="1" state="visible" r:id="rId3"/>
    <sheet name="SETEMBRO" sheetId="2" state="visible" r:id="rId4"/>
    <sheet name="OUTUBRO" sheetId="3" state="visible" r:id="rId5"/>
    <sheet name="2026" sheetId="4" state="visible" r:id="rId6"/>
    <sheet name="Revisão Cetip C2P 2007" sheetId="5" state="visible" r:id="rId7"/>
    <sheet name="Revisão Cetip C2P 2008" sheetId="6" state="visible" r:id="rId8"/>
    <sheet name="Revisão Cetip C2P 2408" sheetId="7" state="visible" r:id="rId9"/>
    <sheet name="Revisão Cetip C2P 2508" sheetId="8" state="visible" r:id="rId10"/>
    <sheet name="Revisão Cetip C2P 2608" sheetId="9" state="visible" r:id="rId11"/>
    <sheet name="Revisão Cetip C2P 2708" sheetId="10" state="visible" r:id="rId12"/>
    <sheet name="Revisão Cetip C2P 2808" sheetId="11" state="visible" r:id="rId13"/>
    <sheet name="Revisão Cetip C2P 3108" sheetId="12" state="visible" r:id="rId14"/>
  </sheets>
  <definedNames>
    <definedName function="false" hidden="true" localSheetId="0" name="_xlnm._FilterDatabase" vbProcedure="false">'Frequentes 06 - 0909'!$A$1:$N$185</definedName>
    <definedName function="false" hidden="true" localSheetId="4" name="_xlnm._FilterDatabase" vbProcedure="false">'Revisão Cetip C2P 2007'!$A$1:$H$1000</definedName>
    <definedName function="false" hidden="true" localSheetId="5" name="_xlnm._FilterDatabase" vbProcedure="false">'Revisão Cetip C2P 2008'!$A$1:$G$1000</definedName>
    <definedName function="false" hidden="true" localSheetId="6" name="_xlnm._FilterDatabase" vbProcedure="false">'Revisão Cetip C2P 2408'!$A$1:$G$1000</definedName>
    <definedName function="false" hidden="true" localSheetId="7" name="_xlnm._FilterDatabase" vbProcedure="false">'Revisão Cetip C2P 2508'!$A$1:$G$1000</definedName>
    <definedName function="false" hidden="true" localSheetId="8" name="_xlnm._FilterDatabase" vbProcedure="false">'Revisão Cetip C2P 2608'!$A$1:$G$1000</definedName>
    <definedName function="false" hidden="true" localSheetId="9" name="_xlnm._FilterDatabase" vbProcedure="false">'Revisão Cetip C2P 2708'!$A$1:$G$1000</definedName>
    <definedName function="false" hidden="true" localSheetId="10" name="_xlnm._FilterDatabase" vbProcedure="false">'Revisão Cetip C2P 2808'!$A$1:$G$1000</definedName>
    <definedName function="false" hidden="true" localSheetId="11" name="_xlnm._FilterDatabase" vbProcedure="false">'Revisão Cetip C2P 3108'!$A$1:$G$1000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  </r>
      </text>
    </comment>
  </commentList>
</comments>
</file>

<file path=xl/sharedStrings.xml><?xml version="1.0" encoding="utf-8"?>
<sst xmlns="http://schemas.openxmlformats.org/spreadsheetml/2006/main" count="4676" uniqueCount="1091">
  <si>
    <t xml:space="preserve">CODIGO</t>
  </si>
  <si>
    <t xml:space="preserve">Fluxo</t>
  </si>
  <si>
    <t xml:space="preserve">Data</t>
  </si>
  <si>
    <t xml:space="preserve">Amortização Ordinária Percentual</t>
  </si>
  <si>
    <t xml:space="preserve">Amortização Extraordinária Percentual</t>
  </si>
  <si>
    <t xml:space="preserve">Correção Percentual</t>
  </si>
  <si>
    <t xml:space="preserve">Juros Percentual</t>
  </si>
  <si>
    <t xml:space="preserve">Juros Incorporação Percentual</t>
  </si>
  <si>
    <t xml:space="preserve">Agente Fiduciário</t>
  </si>
  <si>
    <t xml:space="preserve">OBS</t>
  </si>
  <si>
    <t xml:space="preserve">Alterações</t>
  </si>
  <si>
    <t xml:space="preserve">Link AF</t>
  </si>
  <si>
    <t xml:space="preserve">Retorno</t>
  </si>
  <si>
    <t xml:space="preserve">APCS16</t>
  </si>
  <si>
    <t xml:space="preserve">1º</t>
  </si>
  <si>
    <t xml:space="preserve">-</t>
  </si>
  <si>
    <t xml:space="preserve">OLIVEIRA TRUST DTVM S.A.</t>
  </si>
  <si>
    <t xml:space="preserve">23J2077851</t>
  </si>
  <si>
    <t xml:space="preserve">VORTX DTVM LTDA.</t>
  </si>
  <si>
    <t xml:space="preserve">25F2094673</t>
  </si>
  <si>
    <t xml:space="preserve">amex</t>
  </si>
  <si>
    <t xml:space="preserve">Oliveira Trust</t>
  </si>
  <si>
    <t xml:space="preserve">Homologado</t>
  </si>
  <si>
    <t xml:space="preserve">PRE</t>
  </si>
  <si>
    <t xml:space="preserve">BV</t>
  </si>
  <si>
    <t xml:space="preserve">Vortx</t>
  </si>
  <si>
    <t xml:space="preserve">CDI</t>
  </si>
  <si>
    <t xml:space="preserve">Lista Henry</t>
  </si>
  <si>
    <t xml:space="preserve">15H0138142</t>
  </si>
  <si>
    <t xml:space="preserve">IGPM</t>
  </si>
  <si>
    <t xml:space="preserve">20E0840254</t>
  </si>
  <si>
    <t xml:space="preserve">Correção anual</t>
  </si>
  <si>
    <t xml:space="preserve">Virgo</t>
  </si>
  <si>
    <t xml:space="preserve">23B0509671</t>
  </si>
  <si>
    <t xml:space="preserve">IPCA</t>
  </si>
  <si>
    <t xml:space="preserve">23B0509673</t>
  </si>
  <si>
    <t xml:space="preserve">22L1668355</t>
  </si>
  <si>
    <t xml:space="preserve">amex e premio</t>
  </si>
  <si>
    <t xml:space="preserve">C2P</t>
  </si>
  <si>
    <t xml:space="preserve">22L1668357</t>
  </si>
  <si>
    <t xml:space="preserve">22C0899517</t>
  </si>
  <si>
    <t xml:space="preserve">britech</t>
  </si>
  <si>
    <t xml:space="preserve">25A4251636</t>
  </si>
  <si>
    <t xml:space="preserve">20K0816978</t>
  </si>
  <si>
    <t xml:space="preserve">22I1294505</t>
  </si>
  <si>
    <t xml:space="preserve">22I0099590</t>
  </si>
  <si>
    <t xml:space="preserve">23J1829122</t>
  </si>
  <si>
    <t xml:space="preserve">22I0099580</t>
  </si>
  <si>
    <t xml:space="preserve">23L1438568</t>
  </si>
  <si>
    <t xml:space="preserve">23J1829727</t>
  </si>
  <si>
    <t xml:space="preserve">23L1438691</t>
  </si>
  <si>
    <t xml:space="preserve">21C0572241</t>
  </si>
  <si>
    <t xml:space="preserve">Lista Henry / verificar na Virgo</t>
  </si>
  <si>
    <t xml:space="preserve">21C0572272</t>
  </si>
  <si>
    <t xml:space="preserve">Lista Henry / conferir na securitizadora</t>
  </si>
  <si>
    <t xml:space="preserve">19J0279390</t>
  </si>
  <si>
    <t xml:space="preserve">amex/incorporação juros</t>
  </si>
  <si>
    <t xml:space="preserve">Lista Henry / Verificar agts</t>
  </si>
  <si>
    <t xml:space="preserve">23B0508037</t>
  </si>
  <si>
    <t xml:space="preserve">OIWI12</t>
  </si>
  <si>
    <t xml:space="preserve">20F0689770</t>
  </si>
  <si>
    <t xml:space="preserve">amortiza algumas casas decimais a mais</t>
  </si>
  <si>
    <t xml:space="preserve">24D2787506</t>
  </si>
  <si>
    <t xml:space="preserve">21H1002745</t>
  </si>
  <si>
    <t xml:space="preserve">Gorila acompanha</t>
  </si>
  <si>
    <t xml:space="preserve">21H1011071</t>
  </si>
  <si>
    <t xml:space="preserve">incorporação juros e amex</t>
  </si>
  <si>
    <t xml:space="preserve">tem que verificar se tem novos documentos pra confirmar o fluxo de caixa / lista Henry</t>
  </si>
  <si>
    <t xml:space="preserve">21H1029266</t>
  </si>
  <si>
    <t xml:space="preserve">24C1475908</t>
  </si>
  <si>
    <t xml:space="preserve">Incorporação juros/ pag parcial de juros</t>
  </si>
  <si>
    <t xml:space="preserve">Lote45</t>
  </si>
  <si>
    <t xml:space="preserve">22L1379490</t>
  </si>
  <si>
    <t xml:space="preserve">19L0987208</t>
  </si>
  <si>
    <t xml:space="preserve">Lista C2P / Conferir na Riza: https://investidor.rizasec.com/operations/CID67-CUNHA01?accountId=86&amp;tab=payments</t>
  </si>
  <si>
    <t xml:space="preserve">VSCF16</t>
  </si>
  <si>
    <t xml:space="preserve">AEGE16</t>
  </si>
  <si>
    <t xml:space="preserve">cadastrar premio</t>
  </si>
  <si>
    <t xml:space="preserve">23B0584796</t>
  </si>
  <si>
    <t xml:space="preserve">23B0584725</t>
  </si>
  <si>
    <t xml:space="preserve">21D0402879</t>
  </si>
  <si>
    <t xml:space="preserve">21F1151178</t>
  </si>
  <si>
    <t xml:space="preserve">incorporação juros e amort cancelada</t>
  </si>
  <si>
    <t xml:space="preserve">Guide acompanha / lista henry / 2 ultimos eventos errados, atenção</t>
  </si>
  <si>
    <t xml:space="preserve">UCBL11</t>
  </si>
  <si>
    <t xml:space="preserve">conferir o evento nesse dia</t>
  </si>
  <si>
    <t xml:space="preserve">24H1938813</t>
  </si>
  <si>
    <t xml:space="preserve">Guide acompanha / lista henry</t>
  </si>
  <si>
    <t xml:space="preserve">23L2290714</t>
  </si>
  <si>
    <t xml:space="preserve">24E1701575</t>
  </si>
  <si>
    <t xml:space="preserve">Lista henry</t>
  </si>
  <si>
    <t xml:space="preserve">INBD34</t>
  </si>
  <si>
    <t xml:space="preserve">juros e amort cancelada</t>
  </si>
  <si>
    <t xml:space="preserve">Cancelamento Juros</t>
  </si>
  <si>
    <t xml:space="preserve">PCHSD1</t>
  </si>
  <si>
    <t xml:space="preserve">Juros</t>
  </si>
  <si>
    <t xml:space="preserve">PCHSI2</t>
  </si>
  <si>
    <t xml:space="preserve">cancelamento de evento</t>
  </si>
  <si>
    <t xml:space="preserve">21G0759091</t>
  </si>
  <si>
    <t xml:space="preserve">amex e incorporação</t>
  </si>
  <si>
    <t xml:space="preserve">VTII12</t>
  </si>
  <si>
    <t xml:space="preserve">Juros cancelados e parciais, amex</t>
  </si>
  <si>
    <t xml:space="preserve">INBD14</t>
  </si>
  <si>
    <t xml:space="preserve">21C0776201</t>
  </si>
  <si>
    <t xml:space="preserve">VTII22</t>
  </si>
  <si>
    <t xml:space="preserve">pag de juros</t>
  </si>
  <si>
    <t xml:space="preserve">BV acompanha / Lista C2P / juros não estão sendo pagos</t>
  </si>
  <si>
    <t xml:space="preserve">11F0034534</t>
  </si>
  <si>
    <t xml:space="preserve">11F0031931</t>
  </si>
  <si>
    <t xml:space="preserve">TR</t>
  </si>
  <si>
    <t xml:space="preserve">Guide acompanha / Lista Henry - C2P/</t>
  </si>
  <si>
    <t xml:space="preserve">10D0018560</t>
  </si>
  <si>
    <t xml:space="preserve">Lista Henry C2P</t>
  </si>
  <si>
    <t xml:space="preserve">08C0014530</t>
  </si>
  <si>
    <t xml:space="preserve">08I0013317</t>
  </si>
  <si>
    <t xml:space="preserve">Incorporação</t>
  </si>
  <si>
    <t xml:space="preserve">09B0002128</t>
  </si>
  <si>
    <t xml:space="preserve">amort cancelada e incorporação</t>
  </si>
  <si>
    <t xml:space="preserve">10G0020942</t>
  </si>
  <si>
    <t xml:space="preserve">britech/ diferença de -0,01 a partir de Dez de 2024</t>
  </si>
  <si>
    <t xml:space="preserve">08C0014531</t>
  </si>
  <si>
    <t xml:space="preserve">Sem evento</t>
  </si>
  <si>
    <t xml:space="preserve">24F1278543</t>
  </si>
  <si>
    <t xml:space="preserve">Lote 45</t>
  </si>
  <si>
    <t xml:space="preserve">21L0905775</t>
  </si>
  <si>
    <t xml:space="preserve">Lote45 acompanha</t>
  </si>
  <si>
    <t xml:space="preserve">23L2295744</t>
  </si>
  <si>
    <t xml:space="preserve">amex e prêmio</t>
  </si>
  <si>
    <t xml:space="preserve">24E1703996</t>
  </si>
  <si>
    <t xml:space="preserve">amex / premio</t>
  </si>
  <si>
    <t xml:space="preserve">Guide acompanha / lista henry - conferir evento mês anterior, prêmio sendo adicionado depois</t>
  </si>
  <si>
    <t xml:space="preserve">24H1939132</t>
  </si>
  <si>
    <t xml:space="preserve">Guide acompanha / lista henry (provavelmente) - conferir evento mês anterior, prêmio sendo adicionado depois</t>
  </si>
  <si>
    <t xml:space="preserve">22E1178070</t>
  </si>
  <si>
    <t xml:space="preserve">CRA0250060R</t>
  </si>
  <si>
    <t xml:space="preserve">Evento cancelado</t>
  </si>
  <si>
    <t xml:space="preserve">Itaú acompanha</t>
  </si>
  <si>
    <t xml:space="preserve">20K0659367</t>
  </si>
  <si>
    <t xml:space="preserve">eventos extradordinarios</t>
  </si>
  <si>
    <t xml:space="preserve">24H2096846</t>
  </si>
  <si>
    <t xml:space="preserve">22C1181596</t>
  </si>
  <si>
    <t xml:space="preserve">23G1511349</t>
  </si>
  <si>
    <t xml:space="preserve">BTLM11</t>
  </si>
  <si>
    <t xml:space="preserve">incorporação parcial</t>
  </si>
  <si>
    <t xml:space="preserve">USAS12</t>
  </si>
  <si>
    <t xml:space="preserve">Britech acompanha / Escritura e PU</t>
  </si>
  <si>
    <t xml:space="preserve">CEAB14</t>
  </si>
  <si>
    <t xml:space="preserve">Escritura / PU - tivio acompanha</t>
  </si>
  <si>
    <t xml:space="preserve">CEAB24</t>
  </si>
  <si>
    <t xml:space="preserve">DDQU11</t>
  </si>
  <si>
    <t xml:space="preserve">eventos extraordinarios</t>
  </si>
  <si>
    <t xml:space="preserve">BV acompanha / Ver se teve amex depois do evento anterior (se tiver, inserir correção)</t>
  </si>
  <si>
    <t xml:space="preserve">CRA02300TMS</t>
  </si>
  <si>
    <t xml:space="preserve">Itau</t>
  </si>
  <si>
    <t xml:space="preserve">TVFI11</t>
  </si>
  <si>
    <t xml:space="preserve">23H2463705</t>
  </si>
  <si>
    <t xml:space="preserve">24C1990828</t>
  </si>
  <si>
    <t xml:space="preserve">23L1279637</t>
  </si>
  <si>
    <t xml:space="preserve">22E1314511</t>
  </si>
  <si>
    <t xml:space="preserve">23L1605236</t>
  </si>
  <si>
    <t xml:space="preserve">TENAX Capital Acompanha / Arredondar casas decimais</t>
  </si>
  <si>
    <t xml:space="preserve">22A0699149</t>
  </si>
  <si>
    <t xml:space="preserve">olhar data liquidação</t>
  </si>
  <si>
    <t xml:space="preserve">22K1019759</t>
  </si>
  <si>
    <t xml:space="preserve">incorporação de juros / amex</t>
  </si>
  <si>
    <t xml:space="preserve">britech / olhar data de liquidação</t>
  </si>
  <si>
    <t xml:space="preserve">24A2984302</t>
  </si>
  <si>
    <t xml:space="preserve">24D0007011</t>
  </si>
  <si>
    <t xml:space="preserve">23H2509216</t>
  </si>
  <si>
    <t xml:space="preserve">britech / olhar na data de liquidação</t>
  </si>
  <si>
    <t xml:space="preserve">24A2984294</t>
  </si>
  <si>
    <t xml:space="preserve">amex / eventos cancelados</t>
  </si>
  <si>
    <t xml:space="preserve">Itau acompanha</t>
  </si>
  <si>
    <t xml:space="preserve">24E2538087</t>
  </si>
  <si>
    <t xml:space="preserve">lista henry</t>
  </si>
  <si>
    <t xml:space="preserve">23G0006601</t>
  </si>
  <si>
    <t xml:space="preserve">20J0837185</t>
  </si>
  <si>
    <t xml:space="preserve">23G0006401</t>
  </si>
  <si>
    <t xml:space="preserve">20F0755566</t>
  </si>
  <si>
    <t xml:space="preserve">24A2984293</t>
  </si>
  <si>
    <t xml:space="preserve">21F1058275</t>
  </si>
  <si>
    <t xml:space="preserve">22H1666875</t>
  </si>
  <si>
    <t xml:space="preserve">Pavarini</t>
  </si>
  <si>
    <t xml:space="preserve">Lista C2P / britech acompanha / Pavarini desatualizada, olhar VT</t>
  </si>
  <si>
    <t xml:space="preserve">24I1780101</t>
  </si>
  <si>
    <t xml:space="preserve">amex / incorporação</t>
  </si>
  <si>
    <t xml:space="preserve">22H1697882</t>
  </si>
  <si>
    <t xml:space="preserve">21K0909682</t>
  </si>
  <si>
    <t xml:space="preserve">Bradesco acompanha</t>
  </si>
  <si>
    <t xml:space="preserve">24I1780782</t>
  </si>
  <si>
    <t xml:space="preserve">24I1419236</t>
  </si>
  <si>
    <t xml:space="preserve">OPEA - https://app.opea.com.br/pt/emissoes/24I1419236</t>
  </si>
  <si>
    <t xml:space="preserve">18L1364767</t>
  </si>
  <si>
    <t xml:space="preserve">21I0280476</t>
  </si>
  <si>
    <t xml:space="preserve">24A1470431</t>
  </si>
  <si>
    <t xml:space="preserve">Olhar na OPEA: https://app.opea.com.br/pt/emissoes/24A1470431</t>
  </si>
  <si>
    <t xml:space="preserve">24I1780476</t>
  </si>
  <si>
    <t xml:space="preserve">SSCF22</t>
  </si>
  <si>
    <t xml:space="preserve">24E2696527</t>
  </si>
  <si>
    <t xml:space="preserve">SSCF12</t>
  </si>
  <si>
    <t xml:space="preserve">PCHS14</t>
  </si>
  <si>
    <t xml:space="preserve">24E3617801</t>
  </si>
  <si>
    <t xml:space="preserve">incorporaçao</t>
  </si>
  <si>
    <t xml:space="preserve">22L1116745</t>
  </si>
  <si>
    <t xml:space="preserve">20F0834225</t>
  </si>
  <si>
    <t xml:space="preserve">Cancelamento de evento</t>
  </si>
  <si>
    <t xml:space="preserve">21C0749580</t>
  </si>
  <si>
    <t xml:space="preserve">amort cancelada</t>
  </si>
  <si>
    <t xml:space="preserve">NOWS11</t>
  </si>
  <si>
    <t xml:space="preserve">Conferir se o ativo venceu - alteração de spreed e vencimento</t>
  </si>
  <si>
    <t xml:space="preserve">20G0800227</t>
  </si>
  <si>
    <t xml:space="preserve">22L1566114</t>
  </si>
  <si>
    <t xml:space="preserve">ativo com eventos inseridos porem nao bate pu desde setembro</t>
  </si>
  <si>
    <t xml:space="preserve">22H1582777</t>
  </si>
  <si>
    <t xml:space="preserve">Amortização cancelada</t>
  </si>
  <si>
    <t xml:space="preserve">Planner</t>
  </si>
  <si>
    <t xml:space="preserve">ultimos meses não tem ocorrido / Conferir na OPEA</t>
  </si>
  <si>
    <t xml:space="preserve">24L0007521</t>
  </si>
  <si>
    <t xml:space="preserve">juros extraordinarios</t>
  </si>
  <si>
    <t xml:space="preserve">Verificar todo dia 17 / juros do mes de março e abril foi pago ao inves de incorporado</t>
  </si>
  <si>
    <t xml:space="preserve">24I1345178</t>
  </si>
  <si>
    <t xml:space="preserve">gorila acompanha / Conferir correção do IPCA</t>
  </si>
  <si>
    <t xml:space="preserve">22H1575176</t>
  </si>
  <si>
    <t xml:space="preserve">amortização canc/Incorporcao de juros</t>
  </si>
  <si>
    <t xml:space="preserve">OPEA</t>
  </si>
  <si>
    <t xml:space="preserve">24E2453531</t>
  </si>
  <si>
    <t xml:space="preserve">Guide acompanha esse ativo / ver na data liquidação / Lista Henry</t>
  </si>
  <si>
    <t xml:space="preserve">23E2185848</t>
  </si>
  <si>
    <t xml:space="preserve">23E2052806</t>
  </si>
  <si>
    <t xml:space="preserve">23J0162156</t>
  </si>
  <si>
    <t xml:space="preserve">Conferir na OPEA</t>
  </si>
  <si>
    <t xml:space="preserve">25C3746733</t>
  </si>
  <si>
    <t xml:space="preserve">26A3745888</t>
  </si>
  <si>
    <t xml:space="preserve">incorporação de juros</t>
  </si>
  <si>
    <t xml:space="preserve">23L1605218</t>
  </si>
  <si>
    <t xml:space="preserve">incorporação</t>
  </si>
  <si>
    <t xml:space="preserve">Olhar data de liquidação</t>
  </si>
  <si>
    <t xml:space="preserve">23L2242655</t>
  </si>
  <si>
    <t xml:space="preserve">23D1557666</t>
  </si>
  <si>
    <t xml:space="preserve">Canal</t>
  </si>
  <si>
    <t xml:space="preserve">necessario pedir memoria de calculo para canal</t>
  </si>
  <si>
    <t xml:space="preserve">AXS411</t>
  </si>
  <si>
    <t xml:space="preserve">Gorila acompanha /</t>
  </si>
  <si>
    <t xml:space="preserve">22E1313201</t>
  </si>
  <si>
    <t xml:space="preserve">Premio</t>
  </si>
  <si>
    <t xml:space="preserve">Verificar se teve premio</t>
  </si>
  <si>
    <t xml:space="preserve">23L1773220</t>
  </si>
  <si>
    <t xml:space="preserve">24E1296964</t>
  </si>
  <si>
    <t xml:space="preserve">Alterar data do evento seguinte e incluir correção</t>
  </si>
  <si>
    <t xml:space="preserve">21I0683349</t>
  </si>
  <si>
    <t xml:space="preserve">19B0177968</t>
  </si>
  <si>
    <t xml:space="preserve">22H1664933</t>
  </si>
  <si>
    <t xml:space="preserve">Lista Henry - Olhar na Vórtx</t>
  </si>
  <si>
    <t xml:space="preserve">23H2496612</t>
  </si>
  <si>
    <t xml:space="preserve">Britech acompanha</t>
  </si>
  <si>
    <t xml:space="preserve">19B0168093</t>
  </si>
  <si>
    <t xml:space="preserve">19B0166684</t>
  </si>
  <si>
    <t xml:space="preserve">Gorila acompanha / 2 fluxo</t>
  </si>
  <si>
    <t xml:space="preserve">22I1423539</t>
  </si>
  <si>
    <t xml:space="preserve">23J0019401</t>
  </si>
  <si>
    <t xml:space="preserve">verificar se saiu mais doc com novo fluxo de pagamentos/ lista henry</t>
  </si>
  <si>
    <t xml:space="preserve">CRA02300R09</t>
  </si>
  <si>
    <t xml:space="preserve">25H0243074</t>
  </si>
  <si>
    <t xml:space="preserve">25H0243072</t>
  </si>
  <si>
    <t xml:space="preserve">18D0698877</t>
  </si>
  <si>
    <t xml:space="preserve">Lista Henry/</t>
  </si>
  <si>
    <t xml:space="preserve">20G0000464</t>
  </si>
  <si>
    <t xml:space="preserve">SSCF32</t>
  </si>
  <si>
    <t xml:space="preserve">Lista Henry -C2P</t>
  </si>
  <si>
    <t xml:space="preserve">20B0849733</t>
  </si>
  <si>
    <t xml:space="preserve">20L0483126</t>
  </si>
  <si>
    <t xml:space="preserve">22H1737558</t>
  </si>
  <si>
    <t xml:space="preserve">24A2483764</t>
  </si>
  <si>
    <t xml:space="preserve">23F1508169</t>
  </si>
  <si>
    <t xml:space="preserve">Pentagono</t>
  </si>
  <si>
    <t xml:space="preserve">OPEA - https://app.opea.com.br/pt/emissoes/23F1508169</t>
  </si>
  <si>
    <t xml:space="preserve">22K1363626</t>
  </si>
  <si>
    <t xml:space="preserve">20L0630618</t>
  </si>
  <si>
    <t xml:space="preserve">Lista henry/ Britech</t>
  </si>
  <si>
    <t xml:space="preserve">19A0093844</t>
  </si>
  <si>
    <t xml:space="preserve">22L1607693</t>
  </si>
  <si>
    <t xml:space="preserve">22G1401749</t>
  </si>
  <si>
    <t xml:space="preserve">Incorporação juros</t>
  </si>
  <si>
    <t xml:space="preserve">19I0739706</t>
  </si>
  <si>
    <t xml:space="preserve">Lista Henry, checar no dia seguinte ao evento / Riza sec https://investidor.rizasec.com/operations/CID47-VIT03?accountId=12&amp;tab=payments</t>
  </si>
  <si>
    <t xml:space="preserve">19I0739560</t>
  </si>
  <si>
    <t xml:space="preserve">Lista Henry, checar no dia seguinte ao evento</t>
  </si>
  <si>
    <t xml:space="preserve">24B0013801</t>
  </si>
  <si>
    <t xml:space="preserve">amex e verificar data do evento</t>
  </si>
  <si>
    <t xml:space="preserve">26C3631552</t>
  </si>
  <si>
    <t xml:space="preserve">Gorila</t>
  </si>
  <si>
    <t xml:space="preserve">22F1223555</t>
  </si>
  <si>
    <t xml:space="preserve">VSCF18</t>
  </si>
  <si>
    <t xml:space="preserve">22H1116780</t>
  </si>
  <si>
    <t xml:space="preserve">23K0133015</t>
  </si>
  <si>
    <t xml:space="preserve">23K2257431</t>
  </si>
  <si>
    <t xml:space="preserve">24H1407587</t>
  </si>
  <si>
    <t xml:space="preserve">23K2257577</t>
  </si>
  <si>
    <t xml:space="preserve">Guide acompanha esse ativo /Lista Henry</t>
  </si>
  <si>
    <t xml:space="preserve">22H1116815</t>
  </si>
  <si>
    <t xml:space="preserve">20J0812325</t>
  </si>
  <si>
    <t xml:space="preserve">25C3470318</t>
  </si>
  <si>
    <t xml:space="preserve">21D0457416</t>
  </si>
  <si>
    <t xml:space="preserve">24I2268708</t>
  </si>
  <si>
    <t xml:space="preserve">britech acompanha</t>
  </si>
  <si>
    <t xml:space="preserve">AMSC11</t>
  </si>
  <si>
    <t xml:space="preserve">21D0736598</t>
  </si>
  <si>
    <t xml:space="preserve">21F1147735</t>
  </si>
  <si>
    <t xml:space="preserve">TVXI11</t>
  </si>
  <si>
    <t xml:space="preserve">21F1035590</t>
  </si>
  <si>
    <t xml:space="preserve">20H0874600</t>
  </si>
  <si>
    <t xml:space="preserve">24L2031346</t>
  </si>
  <si>
    <t xml:space="preserve">amex/incorporaçao parcial</t>
  </si>
  <si>
    <t xml:space="preserve">SFCL21</t>
  </si>
  <si>
    <t xml:space="preserve">amex ou incorporação</t>
  </si>
  <si>
    <t xml:space="preserve">24J3510650</t>
  </si>
  <si>
    <t xml:space="preserve">21L0735965</t>
  </si>
  <si>
    <t xml:space="preserve">23I1966031</t>
  </si>
  <si>
    <t xml:space="preserve">23G2246560</t>
  </si>
  <si>
    <t xml:space="preserve">25D3651802</t>
  </si>
  <si>
    <t xml:space="preserve">23C2706233</t>
  </si>
  <si>
    <t xml:space="preserve">amortizaçao cancelada e incorporaçao parcial</t>
  </si>
  <si>
    <t xml:space="preserve">lista c2p / olhar na opea</t>
  </si>
  <si>
    <t xml:space="preserve">22J1019802</t>
  </si>
  <si>
    <t xml:space="preserve">21F0953751</t>
  </si>
  <si>
    <t xml:space="preserve">amortização cancelada</t>
  </si>
  <si>
    <t xml:space="preserve">REAG</t>
  </si>
  <si>
    <t xml:space="preserve">Olhar no emissor - pegar no emissor/ https://fortesec.com.br/precos-unitarios/</t>
  </si>
  <si>
    <t xml:space="preserve">20B0817014</t>
  </si>
  <si>
    <t xml:space="preserve">Vortx/Fortesec</t>
  </si>
  <si>
    <t xml:space="preserve">21D0805849</t>
  </si>
  <si>
    <t xml:space="preserve">pegar no emissor/ https://fortesec.com.br/precos-unitarios/</t>
  </si>
  <si>
    <t xml:space="preserve">21L1228734</t>
  </si>
  <si>
    <t xml:space="preserve">22I0879235</t>
  </si>
  <si>
    <t xml:space="preserve">Vortx/Opea</t>
  </si>
  <si>
    <t xml:space="preserve">20B0816413</t>
  </si>
  <si>
    <t xml:space="preserve">FORTESEC</t>
  </si>
  <si>
    <t xml:space="preserve">Olhar na FORTESEC</t>
  </si>
  <si>
    <t xml:space="preserve">24L2499967</t>
  </si>
  <si>
    <t xml:space="preserve">25B3290306</t>
  </si>
  <si>
    <t xml:space="preserve">LPPP11</t>
  </si>
  <si>
    <t xml:space="preserve">23H1297199</t>
  </si>
  <si>
    <t xml:space="preserve">amex, incorporação</t>
  </si>
  <si>
    <t xml:space="preserve">22C0462276</t>
  </si>
  <si>
    <t xml:space="preserve">22J0311263</t>
  </si>
  <si>
    <t xml:space="preserve">ver no dia seguinte/ Bater com a VORTX</t>
  </si>
  <si>
    <t xml:space="preserve">22I1289816</t>
  </si>
  <si>
    <t xml:space="preserve">21K0952726</t>
  </si>
  <si>
    <t xml:space="preserve">Esperar alguns dias para ver as atualizações Gorila / atentar se incorporou ou pagou os juros</t>
  </si>
  <si>
    <t xml:space="preserve">22J0978864</t>
  </si>
  <si>
    <t xml:space="preserve">2º fluxo</t>
  </si>
  <si>
    <t xml:space="preserve">22E0640809</t>
  </si>
  <si>
    <t xml:space="preserve">23L2279316</t>
  </si>
  <si>
    <t xml:space="preserve">Lista Henry - caso não tiver amex deletar das frequentes</t>
  </si>
  <si>
    <t xml:space="preserve">25F2091336</t>
  </si>
  <si>
    <t xml:space="preserve">Amex</t>
  </si>
  <si>
    <t xml:space="preserve">21H1029310</t>
  </si>
  <si>
    <t xml:space="preserve">incorporação / amex</t>
  </si>
  <si>
    <t xml:space="preserve">Lista Henry / pegar no emissor/ https://fortesec.com.br/precos-unitarios/</t>
  </si>
  <si>
    <t xml:space="preserve">21H1029308</t>
  </si>
  <si>
    <t xml:space="preserve">21H1029309</t>
  </si>
  <si>
    <t xml:space="preserve">21H1029302</t>
  </si>
  <si>
    <t xml:space="preserve">23B0808931</t>
  </si>
  <si>
    <t xml:space="preserve">23L1199584</t>
  </si>
  <si>
    <t xml:space="preserve">c2p</t>
  </si>
  <si>
    <t xml:space="preserve">23E1551135</t>
  </si>
  <si>
    <t xml:space="preserve">23G2304202</t>
  </si>
  <si>
    <t xml:space="preserve">24C0000001</t>
  </si>
  <si>
    <t xml:space="preserve">18L1168429</t>
  </si>
  <si>
    <t xml:space="preserve">23L1199761</t>
  </si>
  <si>
    <t xml:space="preserve">23L1199759</t>
  </si>
  <si>
    <t xml:space="preserve">21F0097589</t>
  </si>
  <si>
    <t xml:space="preserve">BV e lista henry</t>
  </si>
  <si>
    <t xml:space="preserve">24C1638640</t>
  </si>
  <si>
    <t xml:space="preserve">25C3917751</t>
  </si>
  <si>
    <t xml:space="preserve">Juros extraordinário</t>
  </si>
  <si>
    <t xml:space="preserve">24E1558061</t>
  </si>
  <si>
    <t xml:space="preserve">guide / Lista Henry</t>
  </si>
  <si>
    <t xml:space="preserve">24A2579208</t>
  </si>
  <si>
    <t xml:space="preserve">24K3211803</t>
  </si>
  <si>
    <t xml:space="preserve">24D0007014</t>
  </si>
  <si>
    <t xml:space="preserve">20F0851401</t>
  </si>
  <si>
    <t xml:space="preserve">2º fluxo / verificar atualização do valor nominal / ver no dia seguinte</t>
  </si>
  <si>
    <t xml:space="preserve">20F0851403</t>
  </si>
  <si>
    <t xml:space="preserve">2º fluxo / revisar amex outubro</t>
  </si>
  <si>
    <t xml:space="preserve">20F0851408</t>
  </si>
  <si>
    <t xml:space="preserve">20F0851409</t>
  </si>
  <si>
    <t xml:space="preserve">21H1079666</t>
  </si>
  <si>
    <t xml:space="preserve">20F0851404</t>
  </si>
  <si>
    <t xml:space="preserve">2º fluxo/ver no dia seguinte</t>
  </si>
  <si>
    <t xml:space="preserve">20F0851406</t>
  </si>
  <si>
    <t xml:space="preserve">20D0995555</t>
  </si>
  <si>
    <t xml:space="preserve">20F0851402</t>
  </si>
  <si>
    <t xml:space="preserve">22K1685406</t>
  </si>
  <si>
    <t xml:space="preserve">tivio acompanha</t>
  </si>
  <si>
    <t xml:space="preserve">19G0311435</t>
  </si>
  <si>
    <t xml:space="preserve">Lista C2P</t>
  </si>
  <si>
    <t xml:space="preserve">23B0808932</t>
  </si>
  <si>
    <t xml:space="preserve">amex / incorporação parcial</t>
  </si>
  <si>
    <t xml:space="preserve">23B0808926</t>
  </si>
  <si>
    <t xml:space="preserve">amex e pag de juros, sem incorporação</t>
  </si>
  <si>
    <t xml:space="preserve">lote45</t>
  </si>
  <si>
    <t xml:space="preserve">23B0808933</t>
  </si>
  <si>
    <t xml:space="preserve">Esperar alguns dias para ver as atualizações ATENÇÃO aos eventos / incorporação parcial</t>
  </si>
  <si>
    <t xml:space="preserve">20F0736267</t>
  </si>
  <si>
    <t xml:space="preserve">amortização cancelada / amex</t>
  </si>
  <si>
    <t xml:space="preserve">20F0736289</t>
  </si>
  <si>
    <t xml:space="preserve">Incorporação Juros</t>
  </si>
  <si>
    <t xml:space="preserve">21G0813777</t>
  </si>
  <si>
    <t xml:space="preserve">21H1029307</t>
  </si>
  <si>
    <t xml:space="preserve">21K0046861</t>
  </si>
  <si>
    <t xml:space="preserve">Verificar pagamento total da VT, amortização não está com o valor correto</t>
  </si>
  <si>
    <t xml:space="preserve">21K0046865</t>
  </si>
  <si>
    <t xml:space="preserve">23F0918777</t>
  </si>
  <si>
    <t xml:space="preserve">amort. cancelada/incorporação juros</t>
  </si>
  <si>
    <t xml:space="preserve">23E1576860</t>
  </si>
  <si>
    <t xml:space="preserve">23F0923453</t>
  </si>
  <si>
    <t xml:space="preserve">23F0918527</t>
  </si>
  <si>
    <t xml:space="preserve">24C1638623</t>
  </si>
  <si>
    <t xml:space="preserve">21F0929701</t>
  </si>
  <si>
    <t xml:space="preserve">23E1551134</t>
  </si>
  <si>
    <t xml:space="preserve">21I0277499</t>
  </si>
  <si>
    <t xml:space="preserve">24A2579147</t>
  </si>
  <si>
    <t xml:space="preserve">IVT, c2p, guide / Lista Henry / olhar com atenção a tabela no af esse ativo, no evento de fevereiro constou que pagou o juros, porem ele incorporou</t>
  </si>
  <si>
    <t xml:space="preserve">25B2022040</t>
  </si>
  <si>
    <t xml:space="preserve">21H1029306</t>
  </si>
  <si>
    <t xml:space="preserve">amex / 3 fluxo</t>
  </si>
  <si>
    <t xml:space="preserve">3 fluxo/ Lista C2P / pegar no emissor/ https://fortesec.com.br/precos-unitarios/</t>
  </si>
  <si>
    <t xml:space="preserve">21H1029305</t>
  </si>
  <si>
    <t xml:space="preserve">21H1029300</t>
  </si>
  <si>
    <t xml:space="preserve">25C3917602</t>
  </si>
  <si>
    <t xml:space="preserve">21B0718274</t>
  </si>
  <si>
    <t xml:space="preserve">INPC</t>
  </si>
  <si>
    <t xml:space="preserve">23F1528772</t>
  </si>
  <si>
    <t xml:space="preserve">21C0529621</t>
  </si>
  <si>
    <t xml:space="preserve">21H0769217</t>
  </si>
  <si>
    <t xml:space="preserve">19L0882551</t>
  </si>
  <si>
    <t xml:space="preserve">19J0713614</t>
  </si>
  <si>
    <t xml:space="preserve">19J0713616</t>
  </si>
  <si>
    <t xml:space="preserve">21F0950048</t>
  </si>
  <si>
    <t xml:space="preserve">amortização cancelada / incorporação</t>
  </si>
  <si>
    <t xml:space="preserve">Lista Henry / olhar no emissor (fortsec) https://fortesec.com.br/precos-unitarios/</t>
  </si>
  <si>
    <t xml:space="preserve">21F0950049</t>
  </si>
  <si>
    <t xml:space="preserve">21F0950050</t>
  </si>
  <si>
    <t xml:space="preserve">incorporação/ sem amort</t>
  </si>
  <si>
    <t xml:space="preserve">20G0684774</t>
  </si>
  <si>
    <t xml:space="preserve">21C0678164</t>
  </si>
  <si>
    <t xml:space="preserve">21H0921854</t>
  </si>
  <si>
    <t xml:space="preserve">Incorporação parcial e amortização cancelada</t>
  </si>
  <si>
    <t xml:space="preserve">21H0921855</t>
  </si>
  <si>
    <t xml:space="preserve">amort cancelada e incorporação parcial</t>
  </si>
  <si>
    <t xml:space="preserve">21H0921853</t>
  </si>
  <si>
    <t xml:space="preserve">21H0921852</t>
  </si>
  <si>
    <t xml:space="preserve">21H0921851</t>
  </si>
  <si>
    <t xml:space="preserve">21H0921850</t>
  </si>
  <si>
    <t xml:space="preserve">19J0713620</t>
  </si>
  <si>
    <t xml:space="preserve">20G0684824</t>
  </si>
  <si>
    <t xml:space="preserve">Incorporação parcial</t>
  </si>
  <si>
    <t xml:space="preserve">21F0953750</t>
  </si>
  <si>
    <t xml:space="preserve">20F0736292</t>
  </si>
  <si>
    <t xml:space="preserve">20G0684828</t>
  </si>
  <si>
    <t xml:space="preserve">20G0684827</t>
  </si>
  <si>
    <t xml:space="preserve">20G0684826</t>
  </si>
  <si>
    <t xml:space="preserve">20G0684823</t>
  </si>
  <si>
    <t xml:space="preserve">20G0684776</t>
  </si>
  <si>
    <t xml:space="preserve">23F1528771</t>
  </si>
  <si>
    <t xml:space="preserve">23H1297198</t>
  </si>
  <si>
    <t xml:space="preserve">21D0695098</t>
  </si>
  <si>
    <t xml:space="preserve">20B0817015</t>
  </si>
  <si>
    <t xml:space="preserve">20G0684775</t>
  </si>
  <si>
    <t xml:space="preserve">20G0684778</t>
  </si>
  <si>
    <t xml:space="preserve">21G0511750</t>
  </si>
  <si>
    <t xml:space="preserve">Fortesec</t>
  </si>
  <si>
    <t xml:space="preserve">lista c2p</t>
  </si>
  <si>
    <t xml:space="preserve">15I0672691</t>
  </si>
  <si>
    <t xml:space="preserve">10K0024718</t>
  </si>
  <si>
    <t xml:space="preserve">21I0682465</t>
  </si>
  <si>
    <t xml:space="preserve">amex casas a mais</t>
  </si>
  <si>
    <t xml:space="preserve">22E0914464</t>
  </si>
  <si>
    <t xml:space="preserve">23J1741455</t>
  </si>
  <si>
    <t xml:space="preserve">INCC-DI</t>
  </si>
  <si>
    <t xml:space="preserve">Lote45 / incorporação não aparece no pagamento, conferir valor no PU ex</t>
  </si>
  <si>
    <t xml:space="preserve">21A0796001</t>
  </si>
  <si>
    <t xml:space="preserve">CSCF21</t>
  </si>
  <si>
    <t xml:space="preserve">21C0678189</t>
  </si>
  <si>
    <t xml:space="preserve">11A0022965</t>
  </si>
  <si>
    <t xml:space="preserve">13C0026996</t>
  </si>
  <si>
    <t xml:space="preserve">abrir as casas decimais</t>
  </si>
  <si>
    <t xml:space="preserve">15E0186329</t>
  </si>
  <si>
    <t xml:space="preserve">amex/incorp</t>
  </si>
  <si>
    <t xml:space="preserve">11H0022430</t>
  </si>
  <si>
    <t xml:space="preserve">bradesco acompanha</t>
  </si>
  <si>
    <t xml:space="preserve">21H0850177</t>
  </si>
  <si>
    <t xml:space="preserve">Lista Henry / Ver na OPEA</t>
  </si>
  <si>
    <t xml:space="preserve">26C4802988</t>
  </si>
  <si>
    <t xml:space="preserve">26C4864681</t>
  </si>
  <si>
    <t xml:space="preserve">23F0923454</t>
  </si>
  <si>
    <t xml:space="preserve">25F2307569</t>
  </si>
  <si>
    <t xml:space="preserve">20D1003071</t>
  </si>
  <si>
    <t xml:space="preserve">22A1099922</t>
  </si>
  <si>
    <t xml:space="preserve">olhar PU na Vortx</t>
  </si>
  <si>
    <t xml:space="preserve">24A1828116</t>
  </si>
  <si>
    <t xml:space="preserve">20D1003079</t>
  </si>
  <si>
    <t xml:space="preserve">20D1003072</t>
  </si>
  <si>
    <t xml:space="preserve">CSCF11</t>
  </si>
  <si>
    <t xml:space="preserve">24G1967273</t>
  </si>
  <si>
    <t xml:space="preserve">26C3684018</t>
  </si>
  <si>
    <t xml:space="preserve">24G1768866</t>
  </si>
  <si>
    <t xml:space="preserve">23F2335074</t>
  </si>
  <si>
    <t xml:space="preserve">Conferir na OPEA https://app.opea.com.br/pt/emissoes/23F2335074</t>
  </si>
  <si>
    <t xml:space="preserve">20G0684779</t>
  </si>
  <si>
    <t xml:space="preserve">23J2809383</t>
  </si>
  <si>
    <t xml:space="preserve">24E2538085</t>
  </si>
  <si>
    <t xml:space="preserve">24J2091347</t>
  </si>
  <si>
    <t xml:space="preserve">21C0834078</t>
  </si>
  <si>
    <t xml:space="preserve">20L0610216</t>
  </si>
  <si>
    <t xml:space="preserve">Esperar alguns dias para ver as atualizações 3º fluxo</t>
  </si>
  <si>
    <t xml:space="preserve">23D1333883</t>
  </si>
  <si>
    <t xml:space="preserve">22L1198360</t>
  </si>
  <si>
    <t xml:space="preserve">Lista Henry - C2P / ot demora colocar</t>
  </si>
  <si>
    <t xml:space="preserve">24L3703945</t>
  </si>
  <si>
    <t xml:space="preserve">c2p /</t>
  </si>
  <si>
    <t xml:space="preserve">23E1295288</t>
  </si>
  <si>
    <t xml:space="preserve">24D0007013</t>
  </si>
  <si>
    <t xml:space="preserve">21C0830878</t>
  </si>
  <si>
    <t xml:space="preserve">24C2137614</t>
  </si>
  <si>
    <t xml:space="preserve">22L1198359</t>
  </si>
  <si>
    <t xml:space="preserve">24K0086735</t>
  </si>
  <si>
    <t xml:space="preserve">acompanhar atas</t>
  </si>
  <si>
    <t xml:space="preserve">25L3506423</t>
  </si>
  <si>
    <t xml:space="preserve">25K2475326</t>
  </si>
  <si>
    <t xml:space="preserve">VERTJ6</t>
  </si>
  <si>
    <t xml:space="preserve">26C4869290</t>
  </si>
  <si>
    <t xml:space="preserve">24K1726028</t>
  </si>
  <si>
    <t xml:space="preserve">25B3690940</t>
  </si>
  <si>
    <t xml:space="preserve">26E3527017</t>
  </si>
  <si>
    <t xml:space="preserve">26E3527000</t>
  </si>
  <si>
    <t xml:space="preserve">18L1128777</t>
  </si>
  <si>
    <t xml:space="preserve">24H1453741</t>
  </si>
  <si>
    <t xml:space="preserve">20I0851693</t>
  </si>
  <si>
    <t xml:space="preserve">Lista Henry/ olhar na liquidação</t>
  </si>
  <si>
    <t xml:space="preserve">22L1668409</t>
  </si>
  <si>
    <t xml:space="preserve">CRA02300FFL</t>
  </si>
  <si>
    <t xml:space="preserve">mudança de cronograma, segundo fluxo</t>
  </si>
  <si>
    <t xml:space="preserve">Lista Henry - olhar se o emissor já divulgou a ATA com novo cronograma de pagamentos (vencimento mudou para 21/08/2030. pode olhar tb na planilha do emissor.</t>
  </si>
  <si>
    <t xml:space="preserve">19L0906182</t>
  </si>
  <si>
    <t xml:space="preserve">22E0120555</t>
  </si>
  <si>
    <t xml:space="preserve">25I4004602</t>
  </si>
  <si>
    <t xml:space="preserve">25I3725398</t>
  </si>
  <si>
    <t xml:space="preserve">25I4001054</t>
  </si>
  <si>
    <t xml:space="preserve">22F0930128</t>
  </si>
  <si>
    <t xml:space="preserve">24I1526194</t>
  </si>
  <si>
    <t xml:space="preserve">Olhar na OPEA</t>
  </si>
  <si>
    <t xml:space="preserve">23K0237298</t>
  </si>
  <si>
    <t xml:space="preserve">24A2020350</t>
  </si>
  <si>
    <t xml:space="preserve">Lista henry / 2 fluxo</t>
  </si>
  <si>
    <t xml:space="preserve">TKN003LEVE001</t>
  </si>
  <si>
    <t xml:space="preserve">PCHSD3</t>
  </si>
  <si>
    <t xml:space="preserve">amex / prêmio</t>
  </si>
  <si>
    <t xml:space="preserve">Gorila acompanha / Subtrair juros (Não o juros do pagamento) do total pra ter o valor da amex</t>
  </si>
  <si>
    <t xml:space="preserve">20H0620360</t>
  </si>
  <si>
    <t xml:space="preserve">24B1573243</t>
  </si>
  <si>
    <t xml:space="preserve">24E2213960</t>
  </si>
  <si>
    <t xml:space="preserve">25L2639155</t>
  </si>
  <si>
    <t xml:space="preserve">Opea</t>
  </si>
  <si>
    <t xml:space="preserve">22B0582556</t>
  </si>
  <si>
    <t xml:space="preserve">22G1046910</t>
  </si>
  <si>
    <t xml:space="preserve">Lista Henry / Conferir Amex pelo pagamento total</t>
  </si>
  <si>
    <t xml:space="preserve">25I4004809</t>
  </si>
  <si>
    <t xml:space="preserve">25I4004758</t>
  </si>
  <si>
    <t xml:space="preserve">21I0827770</t>
  </si>
  <si>
    <t xml:space="preserve">24A2722073</t>
  </si>
  <si>
    <t xml:space="preserve">21G0708865</t>
  </si>
  <si>
    <t xml:space="preserve">22E1285202</t>
  </si>
  <si>
    <t xml:space="preserve">Incorporação de Juros</t>
  </si>
  <si>
    <t xml:space="preserve">Lista Henry / Conferir na OPEA</t>
  </si>
  <si>
    <t xml:space="preserve">25I3552761</t>
  </si>
  <si>
    <t xml:space="preserve">CRA02100472</t>
  </si>
  <si>
    <t xml:space="preserve">OLHAR OBSERVAÇÃO</t>
  </si>
  <si>
    <t xml:space="preserve">Olhar na Riza Sec (Antiga virgo), as datas dos eventos estao acontecendo sem ser no dia previsto pelo documento, trocar pela data que houver o pagamento</t>
  </si>
  <si>
    <t xml:space="preserve">CRA02100473</t>
  </si>
  <si>
    <t xml:space="preserve">CRA02100474</t>
  </si>
  <si>
    <t xml:space="preserve">CRA0210046Y</t>
  </si>
  <si>
    <t xml:space="preserve">Olhar na virgo, as datas dos eventos estao acontecendo sem ser no dia previsto pelo documento, trocar pela data que houver o pagamento</t>
  </si>
  <si>
    <t xml:space="preserve">22D0059915</t>
  </si>
  <si>
    <t xml:space="preserve">19L0853159</t>
  </si>
  <si>
    <t xml:space="preserve">CRA02200ENT</t>
  </si>
  <si>
    <t xml:space="preserve">amort. cancelada</t>
  </si>
  <si>
    <t xml:space="preserve">C2P - conferir se saiu 3° aditamento</t>
  </si>
  <si>
    <t xml:space="preserve">CRA021004YP</t>
  </si>
  <si>
    <t xml:space="preserve">CRA021004YQ</t>
  </si>
  <si>
    <t xml:space="preserve">conferir um dia depois</t>
  </si>
  <si>
    <t xml:space="preserve">CRA021004YS</t>
  </si>
  <si>
    <t xml:space="preserve">OT está inserindo o prêmio mais tarde, deixar para o dia seguinte</t>
  </si>
  <si>
    <t xml:space="preserve">25K3754062</t>
  </si>
  <si>
    <t xml:space="preserve">Vortx/ Opea</t>
  </si>
  <si>
    <t xml:space="preserve">Possível alteração da data de vencimento (a confirmar)</t>
  </si>
  <si>
    <t xml:space="preserve">21G0856704</t>
  </si>
  <si>
    <t xml:space="preserve">CRA02200ANE</t>
  </si>
  <si>
    <t xml:space="preserve">britech/OT está inserindo o prêmio mais tarde, deixar para o dia seguinte</t>
  </si>
  <si>
    <t xml:space="preserve">25L3001205</t>
  </si>
  <si>
    <t xml:space="preserve">25H4845788</t>
  </si>
  <si>
    <t xml:space="preserve">CRA02300PGP</t>
  </si>
  <si>
    <t xml:space="preserve">19L0882417</t>
  </si>
  <si>
    <t xml:space="preserve">23L2510335</t>
  </si>
  <si>
    <t xml:space="preserve">23L2510336</t>
  </si>
  <si>
    <t xml:space="preserve">22E1313665</t>
  </si>
  <si>
    <t xml:space="preserve">23L0012204</t>
  </si>
  <si>
    <t xml:space="preserve">21C0711012</t>
  </si>
  <si>
    <t xml:space="preserve">24B1404723</t>
  </si>
  <si>
    <t xml:space="preserve">Lista Henry / olhar data de liquidação</t>
  </si>
  <si>
    <t xml:space="preserve">21D0779652</t>
  </si>
  <si>
    <t xml:space="preserve">21D0779664</t>
  </si>
  <si>
    <t xml:space="preserve">23J0021416</t>
  </si>
  <si>
    <t xml:space="preserve">Lista Henry - C2P</t>
  </si>
  <si>
    <t xml:space="preserve">24B1418939</t>
  </si>
  <si>
    <t xml:space="preserve">incorporação juros</t>
  </si>
  <si>
    <t xml:space="preserve">24G2730557</t>
  </si>
  <si>
    <t xml:space="preserve">Lote 45 / olhar na data de liquidação</t>
  </si>
  <si>
    <t xml:space="preserve">22I2046002</t>
  </si>
  <si>
    <t xml:space="preserve">21H0001650</t>
  </si>
  <si>
    <t xml:space="preserve">21J0856001</t>
  </si>
  <si>
    <t xml:space="preserve">24G2730555</t>
  </si>
  <si>
    <t xml:space="preserve">Incorporação, amex</t>
  </si>
  <si>
    <t xml:space="preserve">21J0856063</t>
  </si>
  <si>
    <t xml:space="preserve">Olhar na data de liquidação</t>
  </si>
  <si>
    <t xml:space="preserve">22I2046003</t>
  </si>
  <si>
    <t xml:space="preserve">falta de pag/amex</t>
  </si>
  <si>
    <t xml:space="preserve">18G0705308</t>
  </si>
  <si>
    <t xml:space="preserve">22I0098043</t>
  </si>
  <si>
    <t xml:space="preserve">Amex/incorporação juros</t>
  </si>
  <si>
    <t xml:space="preserve">21J0856110</t>
  </si>
  <si>
    <t xml:space="preserve">Lista Henry /</t>
  </si>
  <si>
    <t xml:space="preserve">22I0097904</t>
  </si>
  <si>
    <t xml:space="preserve">21C0804527</t>
  </si>
  <si>
    <t xml:space="preserve">Riza sec</t>
  </si>
  <si>
    <t xml:space="preserve">https://investidor.rizasec.com/emissoes/RZA0179</t>
  </si>
  <si>
    <t xml:space="preserve">21C0804567</t>
  </si>
  <si>
    <t xml:space="preserve">Lista Henry / https://investidor.rizasec.com/emissoes/RZA0179</t>
  </si>
  <si>
    <t xml:space="preserve">24F2263347</t>
  </si>
  <si>
    <t xml:space="preserve">amex do excedente do VNA</t>
  </si>
  <si>
    <t xml:space="preserve">Britech</t>
  </si>
  <si>
    <t xml:space="preserve">23J0021415</t>
  </si>
  <si>
    <t xml:space="preserve">24H2096743</t>
  </si>
  <si>
    <t xml:space="preserve">24E1325813</t>
  </si>
  <si>
    <t xml:space="preserve">24C2248334</t>
  </si>
  <si>
    <t xml:space="preserve">itau</t>
  </si>
  <si>
    <t xml:space="preserve">23G1987539</t>
  </si>
  <si>
    <t xml:space="preserve">23K2348010</t>
  </si>
  <si>
    <t xml:space="preserve">ot demora colocar a amex/ lista henry</t>
  </si>
  <si>
    <t xml:space="preserve">23J0108650</t>
  </si>
  <si>
    <t xml:space="preserve">24B1404726</t>
  </si>
  <si>
    <t xml:space="preserve">incorporação juros/amex</t>
  </si>
  <si>
    <t xml:space="preserve">23L0012205</t>
  </si>
  <si>
    <t xml:space="preserve">21C0804584</t>
  </si>
  <si>
    <t xml:space="preserve">Conferir na Riza sec</t>
  </si>
  <si>
    <t xml:space="preserve">23C1869458</t>
  </si>
  <si>
    <t xml:space="preserve">22B0914280</t>
  </si>
  <si>
    <t xml:space="preserve">22G0078399</t>
  </si>
  <si>
    <t xml:space="preserve">22F0236437</t>
  </si>
  <si>
    <t xml:space="preserve">Lista Henry ; olhar no dia seguinte</t>
  </si>
  <si>
    <t xml:space="preserve">22B0914281</t>
  </si>
  <si>
    <t xml:space="preserve">22L1369863</t>
  </si>
  <si>
    <t xml:space="preserve">22I1555989</t>
  </si>
  <si>
    <t xml:space="preserve">RIZA</t>
  </si>
  <si>
    <t xml:space="preserve">24D2944088</t>
  </si>
  <si>
    <t xml:space="preserve">21H0001652</t>
  </si>
  <si>
    <t xml:space="preserve">22L1211468</t>
  </si>
  <si>
    <t xml:space="preserve">22F1135958</t>
  </si>
  <si>
    <t xml:space="preserve">22L1565064</t>
  </si>
  <si>
    <t xml:space="preserve">TMXV11</t>
  </si>
  <si>
    <t xml:space="preserve">doc</t>
  </si>
  <si>
    <t xml:space="preserve">conferir se saiu doc no af ou emissor</t>
  </si>
  <si>
    <t xml:space="preserve">25E1733963</t>
  </si>
  <si>
    <t xml:space="preserve">24C1589518</t>
  </si>
  <si>
    <t xml:space="preserve">24C1586480</t>
  </si>
  <si>
    <t xml:space="preserve">24C1583302</t>
  </si>
  <si>
    <t xml:space="preserve">24C1582978</t>
  </si>
  <si>
    <t xml:space="preserve">25H3373630</t>
  </si>
  <si>
    <t xml:space="preserve">24C1978007</t>
  </si>
  <si>
    <t xml:space="preserve">amex / juros extraordinário</t>
  </si>
  <si>
    <t xml:space="preserve">25B2974559</t>
  </si>
  <si>
    <t xml:space="preserve">22A0414381</t>
  </si>
  <si>
    <t xml:space="preserve">Conferir na Riza sec/ Lista Henry</t>
  </si>
  <si>
    <t xml:space="preserve">22K1451336</t>
  </si>
  <si>
    <t xml:space="preserve">incorporação juros/ amex</t>
  </si>
  <si>
    <t xml:space="preserve">22F1195760</t>
  </si>
  <si>
    <t xml:space="preserve">24F1532998</t>
  </si>
  <si>
    <t xml:space="preserve">22D0847835</t>
  </si>
  <si>
    <t xml:space="preserve">23C1221667</t>
  </si>
  <si>
    <t xml:space="preserve">22H1104501</t>
  </si>
  <si>
    <t xml:space="preserve">19G0228153</t>
  </si>
  <si>
    <t xml:space="preserve">19L0867734</t>
  </si>
  <si>
    <t xml:space="preserve">Aumentar as casas decimais (ATENÇÃO) / lista henry</t>
  </si>
  <si>
    <t xml:space="preserve">23K1697617</t>
  </si>
  <si>
    <t xml:space="preserve">23G1988495</t>
  </si>
  <si>
    <t xml:space="preserve">23G1987362</t>
  </si>
  <si>
    <t xml:space="preserve">Guide acompanha / Lista Henry - C2P /</t>
  </si>
  <si>
    <t xml:space="preserve">23K2665601</t>
  </si>
  <si>
    <t xml:space="preserve">17L0959864</t>
  </si>
  <si>
    <t xml:space="preserve">21C0777936</t>
  </si>
  <si>
    <t xml:space="preserve">Guide acompanha / Lista Henry - C2P</t>
  </si>
  <si>
    <t xml:space="preserve">18F0879525</t>
  </si>
  <si>
    <t xml:space="preserve">Maravi - Conferir na OPEA</t>
  </si>
  <si>
    <t xml:space="preserve">24D3430377</t>
  </si>
  <si>
    <t xml:space="preserve">amex do VNA</t>
  </si>
  <si>
    <t xml:space="preserve">18I0295172</t>
  </si>
  <si>
    <t xml:space="preserve">18I0295174</t>
  </si>
  <si>
    <t xml:space="preserve">24J5055187</t>
  </si>
  <si>
    <t xml:space="preserve">(ativo mesmo com as alteraçoes inseridas nao bate pu) possivel mudança de spread</t>
  </si>
  <si>
    <t xml:space="preserve">24L1685249</t>
  </si>
  <si>
    <t xml:space="preserve">Revisar</t>
  </si>
  <si>
    <t xml:space="preserve">Lista Henry / olhar data de liquidação (por ser evento final do mes, a liquidação consta no começo do prox mes)</t>
  </si>
  <si>
    <t xml:space="preserve">24B1618639</t>
  </si>
  <si>
    <t xml:space="preserve">24B1618082</t>
  </si>
  <si>
    <t xml:space="preserve">19H0358499</t>
  </si>
  <si>
    <t xml:space="preserve">C2P / https://investidor.rizasec.com/emissoes/CID46-CHB01</t>
  </si>
  <si>
    <t xml:space="preserve">22F1025672</t>
  </si>
  <si>
    <t xml:space="preserve">19E0311712</t>
  </si>
  <si>
    <t xml:space="preserve">22H1517101</t>
  </si>
  <si>
    <t xml:space="preserve">23L1958573</t>
  </si>
  <si>
    <t xml:space="preserve">21E0611276</t>
  </si>
  <si>
    <t xml:space="preserve">21E0611378</t>
  </si>
  <si>
    <t xml:space="preserve">22L1013767</t>
  </si>
  <si>
    <t xml:space="preserve">23K1511855</t>
  </si>
  <si>
    <t xml:space="preserve">20K0777893</t>
  </si>
  <si>
    <t xml:space="preserve">Alterar data de evento - seguir o que AF divulga</t>
  </si>
  <si>
    <t xml:space="preserve">KRSA22</t>
  </si>
  <si>
    <t xml:space="preserve">KRSA12</t>
  </si>
  <si>
    <t xml:space="preserve">23C2552432</t>
  </si>
  <si>
    <t xml:space="preserve">CRA02300MDL</t>
  </si>
  <si>
    <t xml:space="preserve">Lista C2P / Incorporação juros provavelmente</t>
  </si>
  <si>
    <t xml:space="preserve">24L1567363</t>
  </si>
  <si>
    <t xml:space="preserve">IFPT11</t>
  </si>
  <si>
    <t xml:space="preserve">TODO MÊS EDITAR TAB CORREÇÃO P DIA QUE IPCA FOI DIVULGADO (verificar atualização do VN)</t>
  </si>
  <si>
    <t xml:space="preserve">20E0896474</t>
  </si>
  <si>
    <t xml:space="preserve">Lista henry - ver no dia seguinte https://investidor.rizasec.com/emissoes/RZA0131</t>
  </si>
  <si>
    <t xml:space="preserve">PPGE13</t>
  </si>
  <si>
    <t xml:space="preserve">incorporaçao e amort. cancelada</t>
  </si>
  <si>
    <t xml:space="preserve">em processo de reprogramaçao de pagamentos, ate ser realizado ira incorporar juros</t>
  </si>
  <si>
    <t xml:space="preserve">22F1105839</t>
  </si>
  <si>
    <t xml:space="preserve">lista henry/</t>
  </si>
  <si>
    <t xml:space="preserve">21L0329277</t>
  </si>
  <si>
    <t xml:space="preserve">Lista Henry / ultimo evento houve incorporação parcial (cuidado)</t>
  </si>
  <si>
    <t xml:space="preserve">21L0329279</t>
  </si>
  <si>
    <t xml:space="preserve">17H0163663</t>
  </si>
  <si>
    <t xml:space="preserve">Pagamento de juros</t>
  </si>
  <si>
    <t xml:space="preserve">20C1055632</t>
  </si>
  <si>
    <t xml:space="preserve">cancelamento de amortização e incorporação juros</t>
  </si>
  <si>
    <t xml:space="preserve">21J0705142</t>
  </si>
  <si>
    <t xml:space="preserve">23I2156604</t>
  </si>
  <si>
    <t xml:space="preserve">24D5109919</t>
  </si>
  <si>
    <t xml:space="preserve">Itaú</t>
  </si>
  <si>
    <t xml:space="preserve">24E1753141</t>
  </si>
  <si>
    <t xml:space="preserve">21C0663319</t>
  </si>
  <si>
    <t xml:space="preserve">21C0662763</t>
  </si>
  <si>
    <t xml:space="preserve">24D3313729</t>
  </si>
  <si>
    <t xml:space="preserve">24D3313895</t>
  </si>
  <si>
    <t xml:space="preserve">lista henry / provavelmente amex semestral, verificar</t>
  </si>
  <si>
    <t xml:space="preserve">24D3313853</t>
  </si>
  <si>
    <t xml:space="preserve">25B2979857</t>
  </si>
  <si>
    <t xml:space="preserve">Britech acompanha / https://app.opea.com.br/pt/emissoes/25B2979857</t>
  </si>
  <si>
    <t xml:space="preserve">22A0883092</t>
  </si>
  <si>
    <t xml:space="preserve">Verificar data do evento / amex</t>
  </si>
  <si>
    <t xml:space="preserve">21L0324425</t>
  </si>
  <si>
    <t xml:space="preserve">conferir eventos e se saiu AGT/ lista henry</t>
  </si>
  <si>
    <t xml:space="preserve">19E0966784</t>
  </si>
  <si>
    <t xml:space="preserve">Lista Henry / olhar na data liquidação</t>
  </si>
  <si>
    <t xml:space="preserve">19E0966785</t>
  </si>
  <si>
    <t xml:space="preserve">amort cancelada e amex</t>
  </si>
  <si>
    <t xml:space="preserve">Lista Henry / olhar na data de liquidação</t>
  </si>
  <si>
    <t xml:space="preserve">22A0411092</t>
  </si>
  <si>
    <t xml:space="preserve">24F0002202</t>
  </si>
  <si>
    <t xml:space="preserve">25E2953919</t>
  </si>
  <si>
    <t xml:space="preserve">25E3532722</t>
  </si>
  <si>
    <t xml:space="preserve">24F0002404</t>
  </si>
  <si>
    <t xml:space="preserve">24F0002201</t>
  </si>
  <si>
    <t xml:space="preserve">24F0002203</t>
  </si>
  <si>
    <t xml:space="preserve">25E3534073</t>
  </si>
  <si>
    <t xml:space="preserve">adicionar as amex conforme sairem no af</t>
  </si>
  <si>
    <t xml:space="preserve">25E3533090</t>
  </si>
  <si>
    <t xml:space="preserve">C2P / vna errado no af</t>
  </si>
  <si>
    <t xml:space="preserve">24J5142606</t>
  </si>
  <si>
    <t xml:space="preserve">CÓDIGO</t>
  </si>
  <si>
    <t xml:space="preserve">MOTIVO</t>
  </si>
  <si>
    <t xml:space="preserve">AF</t>
  </si>
  <si>
    <t xml:space="preserve">STATUS</t>
  </si>
  <si>
    <t xml:space="preserve">INDEX</t>
  </si>
  <si>
    <t xml:space="preserve">DATA PRÓX EVENTO</t>
  </si>
  <si>
    <t xml:space="preserve">ADICIONAR EVENTOS EXTRAORDINÁRIOS NO FTRADER!</t>
  </si>
  <si>
    <t xml:space="preserve">Último responsável</t>
  </si>
  <si>
    <t xml:space="preserve">data da revisão</t>
  </si>
  <si>
    <t xml:space="preserve">EC FTRADER</t>
  </si>
  <si>
    <t xml:space="preserve">CRA02200BVT</t>
  </si>
  <si>
    <t xml:space="preserve">juros extraordinarios / amex</t>
  </si>
  <si>
    <t xml:space="preserve">Britech / Verificar possíveis eventos extraordinários</t>
  </si>
  <si>
    <t xml:space="preserve">CRA02200BVU</t>
  </si>
  <si>
    <t xml:space="preserve">Premio / Adiamento de evento</t>
  </si>
  <si>
    <t xml:space="preserve">Verificar possiveis eventos extraordinarios</t>
  </si>
  <si>
    <t xml:space="preserve">CDGD11 </t>
  </si>
  <si>
    <t xml:space="preserve">VIXL19</t>
  </si>
  <si>
    <t xml:space="preserve">conferir se saiu no af e realizar as mudanças necessarias </t>
  </si>
  <si>
    <t xml:space="preserve">BTLM21</t>
  </si>
  <si>
    <t xml:space="preserve">JSTN11</t>
  </si>
  <si>
    <t xml:space="preserve">HVER22</t>
  </si>
  <si>
    <t xml:space="preserve">c2p / verificar se ira ocorrer o pagto da remuneração / acompanhar atas</t>
  </si>
  <si>
    <t xml:space="preserve">CRA02100475</t>
  </si>
  <si>
    <t xml:space="preserve">britech </t>
  </si>
  <si>
    <t xml:space="preserve">CRA024007PZ</t>
  </si>
  <si>
    <t xml:space="preserve">CRA02300G1T</t>
  </si>
  <si>
    <t xml:space="preserve">Incorporação </t>
  </si>
  <si>
    <t xml:space="preserve">TXVI31</t>
  </si>
  <si>
    <t xml:space="preserve">amex acontecendo nos dias 15 a 18 (inserir eventos segundo af)</t>
  </si>
  <si>
    <t xml:space="preserve">TVSX11</t>
  </si>
  <si>
    <t xml:space="preserve">Fazer procv / Verificar sempre no ultimo dia útil do mês (amex em datas diferentes)</t>
  </si>
  <si>
    <t xml:space="preserve">21E0379859</t>
  </si>
  <si>
    <t xml:space="preserve">Lista Henry/ proximo evento previsto para novembro</t>
  </si>
  <si>
    <t xml:space="preserve">Caio</t>
  </si>
  <si>
    <t xml:space="preserve">CRA024007PV</t>
  </si>
  <si>
    <t xml:space="preserve">juros e incorporação cancelados</t>
  </si>
  <si>
    <t xml:space="preserve">Lista C2P / eventos não estão ocorrendo /  próximo evento para novembro</t>
  </si>
  <si>
    <t xml:space="preserve">FYPE12</t>
  </si>
  <si>
    <t xml:space="preserve">juros extraordinários</t>
  </si>
  <si>
    <t xml:space="preserve">próximo evento previsto para fevereiro</t>
  </si>
  <si>
    <t xml:space="preserve">DIXE12</t>
  </si>
  <si>
    <t xml:space="preserve">incorporação de juros </t>
  </si>
  <si>
    <t xml:space="preserve">Lucas</t>
  </si>
  <si>
    <t xml:space="preserve">ITQR11</t>
  </si>
  <si>
    <t xml:space="preserve">BV acompanha / ver alguns dias depois</t>
  </si>
  <si>
    <t xml:space="preserve">Monaliza</t>
  </si>
  <si>
    <t xml:space="preserve">24B1905156</t>
  </si>
  <si>
    <t xml:space="preserve">Atualização VN</t>
  </si>
  <si>
    <t xml:space="preserve">Commcor</t>
  </si>
  <si>
    <t xml:space="preserve">gorila acompanha</t>
  </si>
  <si>
    <t xml:space="preserve">Pedro</t>
  </si>
  <si>
    <t xml:space="preserve">EVOT11</t>
  </si>
  <si>
    <t xml:space="preserve">Nacamura</t>
  </si>
  <si>
    <t xml:space="preserve">21D0694886</t>
  </si>
  <si>
    <t xml:space="preserve">revisar prêmio semestral</t>
  </si>
  <si>
    <t xml:space="preserve">LNDV21</t>
  </si>
  <si>
    <t xml:space="preserve">João</t>
  </si>
  <si>
    <t xml:space="preserve">LNDV11</t>
  </si>
  <si>
    <t xml:space="preserve">CNVI11</t>
  </si>
  <si>
    <t xml:space="preserve">CNVI21</t>
  </si>
  <si>
    <t xml:space="preserve">FVII21</t>
  </si>
  <si>
    <t xml:space="preserve">FVII11</t>
  </si>
  <si>
    <t xml:space="preserve">amex / verificar data do evento</t>
  </si>
  <si>
    <t xml:space="preserve">ATEV21</t>
  </si>
  <si>
    <t xml:space="preserve">ATEV11</t>
  </si>
  <si>
    <t xml:space="preserve">22K1360944</t>
  </si>
  <si>
    <t xml:space="preserve">Lista Henry / checar dia seguinte</t>
  </si>
  <si>
    <t xml:space="preserve">21E0378914</t>
  </si>
  <si>
    <t xml:space="preserve">IPTO12</t>
  </si>
  <si>
    <t xml:space="preserve">bv/ adc tab correção</t>
  </si>
  <si>
    <t xml:space="preserve">24L1853110</t>
  </si>
  <si>
    <t xml:space="preserve">Conferir correção do IPCA - Gorila</t>
  </si>
  <si>
    <t xml:space="preserve">ABRK11</t>
  </si>
  <si>
    <t xml:space="preserve">Revisar tab de eventos / valor nominal</t>
  </si>
  <si>
    <t xml:space="preserve">Mudança de indexador - CDI para IPCA</t>
  </si>
  <si>
    <t xml:space="preserve">CETIP</t>
  </si>
  <si>
    <t xml:space="preserve">TipoEvento</t>
  </si>
  <si>
    <t xml:space="preserve">PU C2P</t>
  </si>
  <si>
    <t xml:space="preserve">PU fincs</t>
  </si>
  <si>
    <t xml:space="preserve">Dif</t>
  </si>
  <si>
    <t xml:space="preserve">Obs</t>
  </si>
  <si>
    <t xml:space="preserve">AF / Emissor</t>
  </si>
  <si>
    <t xml:space="preserve">Status</t>
  </si>
  <si>
    <t xml:space="preserve">Situação com AF </t>
  </si>
  <si>
    <t xml:space="preserve">Valores AF </t>
  </si>
  <si>
    <t xml:space="preserve">C2P e AF (ou emissor) </t>
  </si>
  <si>
    <t xml:space="preserve">ALTERAÇÕES</t>
  </si>
  <si>
    <t xml:space="preserve">PU = Valor do evento</t>
  </si>
  <si>
    <t xml:space="preserve">11K0018241</t>
  </si>
  <si>
    <t xml:space="preserve">PagamentoJurosProgramado</t>
  </si>
  <si>
    <t xml:space="preserve">PU não bate </t>
  </si>
  <si>
    <t xml:space="preserve">Principal = amortização</t>
  </si>
  <si>
    <t xml:space="preserve">PagamentoPrincipalProgramado</t>
  </si>
  <si>
    <t xml:space="preserve">18H0104568</t>
  </si>
  <si>
    <t xml:space="preserve">#N/D</t>
  </si>
  <si>
    <t xml:space="preserve">Não Encontrado</t>
  </si>
  <si>
    <t xml:space="preserve">Não encontrado na FINCS</t>
  </si>
  <si>
    <t xml:space="preserve">Pendente</t>
  </si>
  <si>
    <t xml:space="preserve">Esses eventos do dia 20/07 não batem com os valores enviados pela C2P, revisar o ativo com o AF ou securitizadora, se estiver batendo com eles e dando dif com o da C2P não precisa alterar, só sinalizar nas Obs</t>
  </si>
  <si>
    <t xml:space="preserve">PagamentoPrincipalExtraordinario</t>
  </si>
  <si>
    <t xml:space="preserve">18I0295355</t>
  </si>
  <si>
    <t xml:space="preserve">Não encontrei memória de calc</t>
  </si>
  <si>
    <t xml:space="preserve">GDC /Reit</t>
  </si>
  <si>
    <t xml:space="preserve">18L1210133</t>
  </si>
  <si>
    <t xml:space="preserve">19A1316808</t>
  </si>
  <si>
    <t xml:space="preserve">Resgate antecipado em 03/08/2026</t>
  </si>
  <si>
    <t xml:space="preserve">Feito</t>
  </si>
  <si>
    <t xml:space="preserve">Juros e PU batem </t>
  </si>
  <si>
    <t xml:space="preserve">19I0151856</t>
  </si>
  <si>
    <t xml:space="preserve">Pentagono /Logos Sec</t>
  </si>
  <si>
    <t xml:space="preserve">19K1007971</t>
  </si>
  <si>
    <t xml:space="preserve">Pentagono / RB Capital </t>
  </si>
  <si>
    <t xml:space="preserve">FORTSEC </t>
  </si>
  <si>
    <t xml:space="preserve">Cancel. Incorp Juros jan-24 ~jul-26</t>
  </si>
  <si>
    <t xml:space="preserve">20F0736276</t>
  </si>
  <si>
    <t xml:space="preserve">Cancel. Incorp Juros jan-24 ~jan-26 e ajuste na correção </t>
  </si>
  <si>
    <t xml:space="preserve">20F0736290</t>
  </si>
  <si>
    <t xml:space="preserve">20F0736291</t>
  </si>
  <si>
    <t xml:space="preserve">Bate</t>
  </si>
  <si>
    <t xml:space="preserve">Incorporação 20/07 PU bate com FORTESEC</t>
  </si>
  <si>
    <t xml:space="preserve">Incorporação parcial, juros pagos batem com a c2p</t>
  </si>
  <si>
    <t xml:space="preserve">Incorporação 20/06 PU bate com FORTESEC</t>
  </si>
  <si>
    <t xml:space="preserve">Sem Alterações</t>
  </si>
  <si>
    <t xml:space="preserve">20G0684848</t>
  </si>
  <si>
    <t xml:space="preserve">IncorporacaoJurosProgramado</t>
  </si>
  <si>
    <t xml:space="preserve">20L0504499</t>
  </si>
  <si>
    <t xml:space="preserve">Ativo inadimplente / causando a diferença</t>
  </si>
  <si>
    <t xml:space="preserve">Não bate</t>
  </si>
  <si>
    <t xml:space="preserve">Correções param de funcionar no meio do fluxo</t>
  </si>
  <si>
    <t xml:space="preserve">Ativo inadimplente</t>
  </si>
  <si>
    <t xml:space="preserve">20L0505190</t>
  </si>
  <si>
    <t xml:space="preserve">Escolher </t>
  </si>
  <si>
    <t xml:space="preserve">21A0618761</t>
  </si>
  <si>
    <t xml:space="preserve">TERRA/Logos Sec</t>
  </si>
  <si>
    <t xml:space="preserve">21A0618771</t>
  </si>
  <si>
    <t xml:space="preserve">21H0769220</t>
  </si>
  <si>
    <t xml:space="preserve">FORTSEC / RECALC LOTE</t>
  </si>
  <si>
    <t xml:space="preserve">Incorporação em 20/07/2026</t>
  </si>
  <si>
    <t xml:space="preserve">21H0850158</t>
  </si>
  <si>
    <t xml:space="preserve">OPEA REVISAR CORREÇÔES </t>
  </si>
  <si>
    <t xml:space="preserve">Ajuste nas incorporações -  no primeiro fluxo os juros não batem em algumas datas em que incorpora, nesse caso precisa ajustar com amex negativas ao invés das incorporações</t>
  </si>
  <si>
    <t xml:space="preserve">OPEA </t>
  </si>
  <si>
    <t xml:space="preserve">21J0844863</t>
  </si>
  <si>
    <t xml:space="preserve">VERT</t>
  </si>
  <si>
    <t xml:space="preserve">Amex e Incorporação 05,06,07 e 08 de 2026</t>
  </si>
  <si>
    <t xml:space="preserve">PagamentoJurosExtraordinario</t>
  </si>
  <si>
    <t xml:space="preserve">Amex e Incorporação 02,03,06 e 07 de 2026</t>
  </si>
  <si>
    <t xml:space="preserve">22B0337860</t>
  </si>
  <si>
    <t xml:space="preserve">VORTX</t>
  </si>
  <si>
    <t xml:space="preserve">titulo continua após o vencimento sem doc com novo fluxo</t>
  </si>
  <si>
    <t xml:space="preserve">22B0338247</t>
  </si>
  <si>
    <t xml:space="preserve">Riza / Ajustar Correção 1°Fluxo e inserir  do 2°Fluxo </t>
  </si>
  <si>
    <t xml:space="preserve">Ajustar correção e ajustar novo vencimento</t>
  </si>
  <si>
    <t xml:space="preserve">22D0891481</t>
  </si>
  <si>
    <t xml:space="preserve">TERRA /Reit</t>
  </si>
  <si>
    <t xml:space="preserve">22F0721244</t>
  </si>
  <si>
    <t xml:space="preserve">VERT </t>
  </si>
  <si>
    <t xml:space="preserve">22I0050260</t>
  </si>
  <si>
    <t xml:space="preserve">Cadastrar RIZA</t>
  </si>
  <si>
    <t xml:space="preserve">Não Iniciado</t>
  </si>
  <si>
    <t xml:space="preserve">22I0248815</t>
  </si>
  <si>
    <t xml:space="preserve">Cadastrar </t>
  </si>
  <si>
    <t xml:space="preserve">22I0248837</t>
  </si>
  <si>
    <t xml:space="preserve">22I1289810</t>
  </si>
  <si>
    <t xml:space="preserve">VERT / Recalcular </t>
  </si>
  <si>
    <t xml:space="preserve">22I1465810</t>
  </si>
  <si>
    <t xml:space="preserve">Inserir Correções/ Alterar vencimento</t>
  </si>
  <si>
    <t xml:space="preserve">22I1466156</t>
  </si>
  <si>
    <t xml:space="preserve">Ativo está com variação mensal no Ftrustee</t>
  </si>
  <si>
    <t xml:space="preserve">22I1466165</t>
  </si>
  <si>
    <t xml:space="preserve">Riza</t>
  </si>
  <si>
    <t xml:space="preserve">Inseridas Correções 1° e 2° Fluxo</t>
  </si>
  <si>
    <t xml:space="preserve">22K1448235</t>
  </si>
  <si>
    <t xml:space="preserve">TERRA / CANAL </t>
  </si>
  <si>
    <t xml:space="preserve">AMEX e Pagamento de juros 20/05/2026</t>
  </si>
  <si>
    <t xml:space="preserve">VERT/ Falta recalc</t>
  </si>
  <si>
    <t xml:space="preserve">AMEX e Incorporação 20/06 e 20/07 </t>
  </si>
  <si>
    <t xml:space="preserve">23C1835482</t>
  </si>
  <si>
    <t xml:space="preserve">FORTESEC/ Falta recalc</t>
  </si>
  <si>
    <t xml:space="preserve">AMEX e juros 05, 06 e 07 de 2026</t>
  </si>
  <si>
    <t xml:space="preserve">23C1835485</t>
  </si>
  <si>
    <t xml:space="preserve">23G1576657</t>
  </si>
  <si>
    <t xml:space="preserve">Incluir correções? </t>
  </si>
  <si>
    <t xml:space="preserve">23H1097588</t>
  </si>
  <si>
    <t xml:space="preserve">Terra Investimentos / memória</t>
  </si>
  <si>
    <t xml:space="preserve">TERRA</t>
  </si>
  <si>
    <t xml:space="preserve">23H1097648</t>
  </si>
  <si>
    <t xml:space="preserve">23H1097649</t>
  </si>
  <si>
    <t xml:space="preserve">23H1097655</t>
  </si>
  <si>
    <t xml:space="preserve">23H1297146</t>
  </si>
  <si>
    <t xml:space="preserve">Incorporação e Amex, mas PU n bate na terceira casa decimal</t>
  </si>
  <si>
    <t xml:space="preserve">23H1297196</t>
  </si>
  <si>
    <t xml:space="preserve">Incorporação e Amex, mas PU n bate</t>
  </si>
  <si>
    <t xml:space="preserve">23H3942620</t>
  </si>
  <si>
    <t xml:space="preserve">OlivEIRA TRUST</t>
  </si>
  <si>
    <t xml:space="preserve">24A2395040</t>
  </si>
  <si>
    <t xml:space="preserve">24A2532710</t>
  </si>
  <si>
    <t xml:space="preserve">Incorporação Juros 20/07/2026</t>
  </si>
  <si>
    <t xml:space="preserve">24D3163840</t>
  </si>
  <si>
    <t xml:space="preserve">Histórico de PU incompleto</t>
  </si>
  <si>
    <t xml:space="preserve">OT /leverage </t>
  </si>
  <si>
    <t xml:space="preserve">24E2267941</t>
  </si>
  <si>
    <t xml:space="preserve">Sem alterações, PU bate com a Vortx</t>
  </si>
  <si>
    <t xml:space="preserve">Precisava ajustar a defasagem</t>
  </si>
  <si>
    <t xml:space="preserve">24L2031347</t>
  </si>
  <si>
    <t xml:space="preserve">24L3363976</t>
  </si>
  <si>
    <t xml:space="preserve">OLIVEIRA TRUST</t>
  </si>
  <si>
    <t xml:space="preserve">Correção da defasagem, Incorporação Juros 20/07/2026 e 20/08/2026</t>
  </si>
  <si>
    <t xml:space="preserve">Principal e PU batem </t>
  </si>
  <si>
    <t xml:space="preserve">Amex 20/03/2026 a 20/07/2026 corrigidas, PU bate com a Vortx</t>
  </si>
  <si>
    <t xml:space="preserve">Amex 20/07/2026, PU bate com a Vortx</t>
  </si>
  <si>
    <t xml:space="preserve">25F7021405</t>
  </si>
  <si>
    <t xml:space="preserve">25H3541142</t>
  </si>
  <si>
    <t xml:space="preserve">25H3541155</t>
  </si>
  <si>
    <t xml:space="preserve">Amexs inseridas de acordo com a Leverage</t>
  </si>
  <si>
    <t xml:space="preserve">C2P e AF</t>
  </si>
  <si>
    <t xml:space="preserve">09C0005309</t>
  </si>
  <si>
    <t xml:space="preserve">OT o valor C2P bate com o pagamento total </t>
  </si>
  <si>
    <t xml:space="preserve">AMEX 20/07/2026</t>
  </si>
  <si>
    <t xml:space="preserve">PU não bate com AMEX</t>
  </si>
  <si>
    <t xml:space="preserve">16L0152423</t>
  </si>
  <si>
    <t xml:space="preserve">VT </t>
  </si>
  <si>
    <t xml:space="preserve">Ativo com AMEXs e Correções PU não bate</t>
  </si>
  <si>
    <t xml:space="preserve">Não encontrado FINCS, TERRA, DTVM, CANAL ou C2P </t>
  </si>
  <si>
    <t xml:space="preserve">GDC memória de calaculo </t>
  </si>
  <si>
    <t xml:space="preserve">Juros não bate</t>
  </si>
  <si>
    <t xml:space="preserve">Principal não bate</t>
  </si>
  <si>
    <t xml:space="preserve">19F0922610</t>
  </si>
  <si>
    <t xml:space="preserve">VT</t>
  </si>
  <si>
    <t xml:space="preserve">Inserido evento de pagamento de juros em 20/08/2026</t>
  </si>
  <si>
    <t xml:space="preserve">Pentagono / Memória de calculo</t>
  </si>
  <si>
    <t xml:space="preserve">alteração AMEX 07 e 08 de 2026</t>
  </si>
  <si>
    <t xml:space="preserve">Continuar</t>
  </si>
  <si>
    <t xml:space="preserve">Em Andamento</t>
  </si>
  <si>
    <t xml:space="preserve">21B0718276</t>
  </si>
  <si>
    <t xml:space="preserve">21C0731446</t>
  </si>
  <si>
    <t xml:space="preserve">21H0921848</t>
  </si>
  <si>
    <t xml:space="preserve">21H0926710</t>
  </si>
  <si>
    <t xml:space="preserve">21H1029303</t>
  </si>
  <si>
    <t xml:space="preserve">21H1029304</t>
  </si>
  <si>
    <t xml:space="preserve">21H1079665</t>
  </si>
  <si>
    <t xml:space="preserve">21K0002028</t>
  </si>
  <si>
    <t xml:space="preserve">21K0952728</t>
  </si>
  <si>
    <t xml:space="preserve">21K0952730</t>
  </si>
  <si>
    <t xml:space="preserve">22D0376329</t>
  </si>
  <si>
    <t xml:space="preserve">22E0854678</t>
  </si>
  <si>
    <t xml:space="preserve">22H1519129</t>
  </si>
  <si>
    <t xml:space="preserve">22H1663473</t>
  </si>
  <si>
    <t xml:space="preserve">22H1663827</t>
  </si>
  <si>
    <t xml:space="preserve">22H1667479</t>
  </si>
  <si>
    <t xml:space="preserve">22H1667509</t>
  </si>
  <si>
    <t xml:space="preserve">22H1667510</t>
  </si>
  <si>
    <t xml:space="preserve">22I0248791</t>
  </si>
  <si>
    <t xml:space="preserve">22L0343475</t>
  </si>
  <si>
    <t xml:space="preserve">23B0808928</t>
  </si>
  <si>
    <t xml:space="preserve">23C0118758</t>
  </si>
  <si>
    <t xml:space="preserve">23K1507975</t>
  </si>
  <si>
    <t xml:space="preserve">24C2137631</t>
  </si>
  <si>
    <t xml:space="preserve">24G1773090</t>
  </si>
  <si>
    <t xml:space="preserve">24H1808081</t>
  </si>
  <si>
    <t xml:space="preserve">24K1806410</t>
  </si>
  <si>
    <t xml:space="preserve">25A3191016</t>
  </si>
  <si>
    <t xml:space="preserve">25B2272338</t>
  </si>
  <si>
    <t xml:space="preserve">25D3754131</t>
  </si>
  <si>
    <t xml:space="preserve">25D3754174</t>
  </si>
  <si>
    <t xml:space="preserve">25D4148876</t>
  </si>
  <si>
    <t xml:space="preserve">25F1686813</t>
  </si>
  <si>
    <t xml:space="preserve">25F2252156</t>
  </si>
  <si>
    <t xml:space="preserve">26C3050294</t>
  </si>
  <si>
    <t xml:space="preserve">26E3526277</t>
  </si>
  <si>
    <t xml:space="preserve">26E3526804</t>
  </si>
  <si>
    <t xml:space="preserve">26F2556269</t>
  </si>
  <si>
    <t xml:space="preserve">23F1242736</t>
  </si>
  <si>
    <t xml:space="preserve">Incorporação de juros 07 e 08 de 20260</t>
  </si>
  <si>
    <t xml:space="preserve">23J1952372</t>
  </si>
  <si>
    <t xml:space="preserve">AMEX e ajuste nas correções</t>
  </si>
  <si>
    <t xml:space="preserve">24K2432454</t>
  </si>
  <si>
    <t xml:space="preserve">Travessia Memória de calc </t>
  </si>
  <si>
    <t xml:space="preserve">26C3493147</t>
  </si>
  <si>
    <t xml:space="preserve">VORTX/ Recalc </t>
  </si>
  <si>
    <t xml:space="preserve">AMEX 24/06 e 24/07 de 2026</t>
  </si>
  <si>
    <t xml:space="preserve">24D3314338</t>
  </si>
  <si>
    <t xml:space="preserve">AMEX em 25/08/2026</t>
  </si>
  <si>
    <t xml:space="preserve">24D3314465</t>
  </si>
  <si>
    <t xml:space="preserve">24I1425363</t>
  </si>
  <si>
    <t xml:space="preserve">Canal Memória de Calculo</t>
  </si>
  <si>
    <t xml:space="preserve">25B2384188</t>
  </si>
  <si>
    <t xml:space="preserve">Terra/ não há evento 25/08</t>
  </si>
  <si>
    <t xml:space="preserve">CRA018001E1</t>
  </si>
  <si>
    <t xml:space="preserve">Pentagono /  OPEA</t>
  </si>
  <si>
    <t xml:space="preserve">Revisão no cadastro FINCS </t>
  </si>
  <si>
    <t xml:space="preserve">19J0713611</t>
  </si>
  <si>
    <t xml:space="preserve">OT</t>
  </si>
  <si>
    <t xml:space="preserve">AMEX 26/08/2026</t>
  </si>
  <si>
    <t xml:space="preserve">19J0713612</t>
  </si>
  <si>
    <t xml:space="preserve">Amortização Cancelada em 26/08/2026</t>
  </si>
  <si>
    <t xml:space="preserve">21H0976574</t>
  </si>
  <si>
    <t xml:space="preserve">Amex 06 e 07 de 2026</t>
  </si>
  <si>
    <t xml:space="preserve">Incorporação Juros e Amortização Cancelada em 05, 06, 07 e 08 de 2026 </t>
  </si>
  <si>
    <t xml:space="preserve">22F1025673</t>
  </si>
  <si>
    <t xml:space="preserve">22F1025725</t>
  </si>
  <si>
    <t xml:space="preserve">23H1104566</t>
  </si>
  <si>
    <t xml:space="preserve">24I2477779</t>
  </si>
  <si>
    <t xml:space="preserve">CRA02300NGK</t>
  </si>
  <si>
    <t xml:space="preserve">22D0382755</t>
  </si>
  <si>
    <t xml:space="preserve">23H1637802</t>
  </si>
  <si>
    <t xml:space="preserve">24G2828592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</si>
</sst>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_-* #,##0.000000000000_-;\-* #,##0.000000000000_-;_-* \-??_-;_-@"/>
    <numFmt numFmtId="167" formatCode="0%"/>
    <numFmt numFmtId="168" formatCode="General"/>
    <numFmt numFmtId="169" formatCode="#,##0.00"/>
    <numFmt numFmtId="170" formatCode="#,##0.00000000"/>
    <numFmt numFmtId="171" formatCode="0.00E+00"/>
    <numFmt numFmtId="172" formatCode="0.0000000000000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ahoma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Tahoma"/>
      <family val="0"/>
      <charset val="1"/>
    </font>
    <font>
      <sz val="11"/>
      <color theme="1"/>
      <name val="Arial"/>
      <family val="0"/>
      <charset val="1"/>
    </font>
    <font>
      <sz val="12"/>
      <color theme="1"/>
      <name val="Calibri"/>
      <family val="0"/>
      <charset val="1"/>
    </font>
    <font>
      <sz val="11"/>
      <color rgb="FF000000"/>
      <name val="Arial"/>
      <family val="0"/>
      <charset val="1"/>
    </font>
    <font>
      <sz val="12"/>
      <color rgb="FF2F3033"/>
      <name val="&quot;Source Sans Pro&quot;"/>
      <family val="0"/>
      <charset val="1"/>
    </font>
    <font>
      <sz val="11"/>
      <color theme="1"/>
      <name val="Tahoma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&quot;Helvetica Neue&quot;"/>
      <family val="0"/>
      <charset val="1"/>
    </font>
    <font>
      <sz val="11"/>
      <color rgb="FF000000"/>
      <name val="Aptos"/>
      <family val="0"/>
      <charset val="1"/>
    </font>
    <font>
      <sz val="11"/>
      <color rgb="FF1F1F1F"/>
      <name val="Arial"/>
      <family val="0"/>
      <charset val="1"/>
    </font>
    <font>
      <sz val="11"/>
      <color rgb="FF222222"/>
      <name val="Arial"/>
      <family val="0"/>
      <charset val="1"/>
    </font>
    <font>
      <sz val="10"/>
      <name val="Arial"/>
      <family val="2"/>
    </font>
    <font>
      <u val="single"/>
      <sz val="11"/>
      <color rgb="FF0000FF"/>
      <name val="Cambria"/>
      <family val="0"/>
      <charset val="1"/>
    </font>
    <font>
      <u val="single"/>
      <sz val="11"/>
      <color rgb="FF000000"/>
      <name val="Arial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rgb="FF1F1F1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&quot;Aptos Narrow&quot;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F9FAFB"/>
        <bgColor rgb="FFFFFFFF"/>
      </patternFill>
    </fill>
    <fill>
      <patternFill patternType="solid">
        <fgColor rgb="FFD8D8D8"/>
        <bgColor rgb="FFD9D9D9"/>
      </patternFill>
    </fill>
    <fill>
      <patternFill patternType="solid">
        <fgColor rgb="FFFF0000"/>
        <bgColor rgb="FFEA4335"/>
      </patternFill>
    </fill>
    <fill>
      <patternFill patternType="solid">
        <fgColor rgb="FFFFFFFF"/>
        <bgColor rgb="FFF9FAFB"/>
      </patternFill>
    </fill>
    <fill>
      <patternFill patternType="solid">
        <fgColor rgb="FFF3F3F3"/>
        <bgColor rgb="FFF9FAFB"/>
      </patternFill>
    </fill>
    <fill>
      <patternFill patternType="solid">
        <fgColor rgb="FF9FC5E8"/>
        <bgColor rgb="FFCFE2F3"/>
      </patternFill>
    </fill>
    <fill>
      <patternFill patternType="solid">
        <fgColor theme="5"/>
        <bgColor rgb="FFE06666"/>
      </patternFill>
    </fill>
    <fill>
      <patternFill patternType="solid">
        <fgColor rgb="FFE06666"/>
        <bgColor rgb="FFEA4335"/>
      </patternFill>
    </fill>
    <fill>
      <patternFill patternType="solid">
        <fgColor rgb="FFCFE2F3"/>
        <bgColor rgb="FFD9D9D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5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CFE2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9FAFB"/>
      <rgbColor rgb="FFCFE2F3"/>
      <rgbColor rgb="FF660066"/>
      <rgbColor rgb="FFE06666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1F1F1F"/>
      <rgbColor rgb="FF222222"/>
      <rgbColor rgb="FF993300"/>
      <rgbColor rgb="FF993366"/>
      <rgbColor rgb="FF333399"/>
      <rgbColor rgb="FF2F3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410:G427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2.xml><?xml version="1.0" encoding="utf-8"?>
<table xmlns="http://schemas.openxmlformats.org/spreadsheetml/2006/main" id="2" name="Table_2" displayName="Table_2" ref="A430:G430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nvestidor.rizasec.com/operations/CID67-CUNHA01?accountId=86&amp;tab=payments" TargetMode="External"/><Relationship Id="rId2" Type="http://schemas.openxmlformats.org/officeDocument/2006/relationships/hyperlink" Target="https://app.opea.com.br/pt/emissoes/24I1419236" TargetMode="External"/><Relationship Id="rId3" Type="http://schemas.openxmlformats.org/officeDocument/2006/relationships/hyperlink" Target="https://app.opea.com.br/pt/emissoes/24A1470431" TargetMode="External"/><Relationship Id="rId4" Type="http://schemas.openxmlformats.org/officeDocument/2006/relationships/hyperlink" Target="https://app.opea.com.br/pt/emissoes/23F1508169" TargetMode="External"/><Relationship Id="rId5" Type="http://schemas.openxmlformats.org/officeDocument/2006/relationships/table" Target="../tables/table1.xml"/><Relationship Id="rId6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9.38"/>
    <col collapsed="false" customWidth="true" hidden="false" outlineLevel="0" max="3" min="3" style="0" width="14.05"/>
    <col collapsed="false" customWidth="true" hidden="false" outlineLevel="0" max="4" min="4" style="0" width="19.88"/>
    <col collapsed="false" customWidth="true" hidden="false" outlineLevel="0" max="5" min="5" style="0" width="13.5"/>
    <col collapsed="false" customWidth="true" hidden="false" outlineLevel="0" max="6" min="6" style="0" width="14.13"/>
    <col collapsed="false" customWidth="true" hidden="false" outlineLevel="0" max="7" min="7" style="0" width="13.13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34.63"/>
    <col collapsed="false" customWidth="true" hidden="false" outlineLevel="0" max="11" min="11" style="0" width="28.63"/>
    <col collapsed="false" customWidth="true" hidden="false" outlineLevel="0" max="12" min="12" style="0" width="26.25"/>
    <col collapsed="false" customWidth="true" hidden="false" outlineLevel="0" max="13" min="13" style="0" width="26.7"/>
    <col collapsed="false" customWidth="true" hidden="false" outlineLevel="0" max="14" min="14" style="0" width="64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M1" s="4" t="s">
        <v>11</v>
      </c>
      <c r="N1" s="4" t="s">
        <v>12</v>
      </c>
      <c r="O1" s="4"/>
    </row>
    <row r="2" customFormat="false" ht="15.75" hidden="false" customHeight="false" outlineLevel="0" collapsed="false">
      <c r="A2" s="5" t="s">
        <v>13</v>
      </c>
      <c r="B2" s="5" t="s">
        <v>14</v>
      </c>
      <c r="C2" s="6" t="n">
        <v>46271</v>
      </c>
      <c r="D2" s="7" t="n">
        <v>27.6573</v>
      </c>
      <c r="E2" s="7" t="s">
        <v>15</v>
      </c>
      <c r="F2" s="7" t="n">
        <v>100</v>
      </c>
      <c r="G2" s="7" t="n">
        <v>14.93</v>
      </c>
      <c r="H2" s="8" t="s">
        <v>15</v>
      </c>
      <c r="I2" s="5" t="s">
        <v>16</v>
      </c>
      <c r="J2" s="9" t="str">
        <f aca="false">VLOOKUP(A2, SETEMBRO!$A$1:$G$299, 7, FALSE())</f>
        <v>BV</v>
      </c>
      <c r="K2" s="9"/>
      <c r="M2" s="10"/>
      <c r="N2" s="11"/>
      <c r="O2" s="11"/>
    </row>
    <row r="3" customFormat="false" ht="15.75" hidden="false" customHeight="false" outlineLevel="0" collapsed="false">
      <c r="A3" s="5" t="s">
        <v>17</v>
      </c>
      <c r="B3" s="5" t="s">
        <v>14</v>
      </c>
      <c r="C3" s="6" t="n">
        <v>46274</v>
      </c>
      <c r="D3" s="7" t="s">
        <v>15</v>
      </c>
      <c r="E3" s="7" t="s">
        <v>15</v>
      </c>
      <c r="F3" s="7" t="n">
        <v>100</v>
      </c>
      <c r="G3" s="7" t="n">
        <v>1</v>
      </c>
      <c r="H3" s="8" t="s">
        <v>15</v>
      </c>
      <c r="I3" s="5" t="s">
        <v>18</v>
      </c>
      <c r="J3" s="9" t="str">
        <f aca="false">VLOOKUP(A3, SETEMBRO!$A$1:$G$299, 7, FALSE())</f>
        <v>Lista Henry</v>
      </c>
      <c r="K3" s="9"/>
      <c r="M3" s="12"/>
      <c r="N3" s="11"/>
      <c r="O3" s="11"/>
    </row>
    <row r="4" customFormat="false" ht="15.75" hidden="false" customHeight="false" outlineLevel="0" collapsed="false">
      <c r="A4" s="5" t="s">
        <v>19</v>
      </c>
      <c r="B4" s="5" t="s">
        <v>14</v>
      </c>
      <c r="C4" s="6" t="n">
        <v>46274</v>
      </c>
      <c r="D4" s="7" t="n">
        <v>0.2143</v>
      </c>
      <c r="E4" s="7" t="s">
        <v>15</v>
      </c>
      <c r="F4" s="7" t="n">
        <v>100</v>
      </c>
      <c r="G4" s="7" t="n">
        <v>2.5</v>
      </c>
      <c r="H4" s="8" t="s">
        <v>15</v>
      </c>
      <c r="I4" s="5" t="s">
        <v>18</v>
      </c>
      <c r="J4" s="9" t="n">
        <f aca="false">VLOOKUP(A4, SETEMBRO!$A$1:$G$299, 7, FALSE())</f>
        <v>0</v>
      </c>
      <c r="K4" s="9"/>
      <c r="M4" s="10"/>
      <c r="N4" s="11"/>
      <c r="O4" s="11"/>
    </row>
    <row r="5" customFormat="false" ht="15.75" hidden="false" customHeight="false" outlineLevel="0" collapsed="false">
      <c r="A5" s="5"/>
      <c r="B5" s="5"/>
      <c r="C5" s="6"/>
      <c r="D5" s="7"/>
      <c r="E5" s="7"/>
      <c r="F5" s="7"/>
      <c r="G5" s="7"/>
      <c r="H5" s="8"/>
      <c r="I5" s="5"/>
      <c r="K5" s="9"/>
      <c r="M5" s="10"/>
      <c r="N5" s="11"/>
      <c r="O5" s="11"/>
    </row>
    <row r="6" customFormat="false" ht="15.75" hidden="false" customHeight="false" outlineLevel="0" collapsed="false">
      <c r="A6" s="5"/>
      <c r="B6" s="5"/>
      <c r="C6" s="6"/>
      <c r="D6" s="7"/>
      <c r="E6" s="7"/>
      <c r="F6" s="7"/>
      <c r="G6" s="7"/>
      <c r="H6" s="8"/>
      <c r="I6" s="5"/>
      <c r="K6" s="9"/>
      <c r="M6" s="10"/>
      <c r="N6" s="11"/>
      <c r="O6" s="11"/>
    </row>
    <row r="7" customFormat="false" ht="15.75" hidden="false" customHeight="false" outlineLevel="0" collapsed="false">
      <c r="A7" s="5"/>
      <c r="B7" s="5"/>
      <c r="C7" s="6"/>
      <c r="D7" s="7"/>
      <c r="E7" s="7"/>
      <c r="F7" s="7"/>
      <c r="G7" s="7"/>
      <c r="H7" s="8"/>
      <c r="I7" s="5"/>
      <c r="K7" s="9"/>
      <c r="M7" s="10"/>
      <c r="N7" s="11"/>
      <c r="O7" s="11"/>
    </row>
    <row r="8" customFormat="false" ht="15.75" hidden="false" customHeight="false" outlineLevel="0" collapsed="false">
      <c r="A8" s="5"/>
      <c r="B8" s="5"/>
      <c r="C8" s="6"/>
      <c r="D8" s="7"/>
      <c r="E8" s="7"/>
      <c r="F8" s="7"/>
      <c r="G8" s="7"/>
      <c r="H8" s="8"/>
      <c r="I8" s="5"/>
      <c r="K8" s="9"/>
      <c r="M8" s="10"/>
      <c r="N8" s="11"/>
      <c r="O8" s="11"/>
    </row>
    <row r="9" customFormat="false" ht="15.75" hidden="false" customHeight="false" outlineLevel="0" collapsed="false">
      <c r="A9" s="5"/>
      <c r="B9" s="5"/>
      <c r="C9" s="6"/>
      <c r="D9" s="7"/>
      <c r="E9" s="7"/>
      <c r="F9" s="7"/>
      <c r="G9" s="7"/>
      <c r="H9" s="8"/>
      <c r="I9" s="5"/>
      <c r="K9" s="9"/>
      <c r="M9" s="10"/>
      <c r="N9" s="11"/>
      <c r="O9" s="11"/>
    </row>
    <row r="10" customFormat="false" ht="15.75" hidden="false" customHeight="false" outlineLevel="0" collapsed="false">
      <c r="A10" s="5"/>
      <c r="B10" s="5"/>
      <c r="C10" s="6"/>
      <c r="D10" s="7"/>
      <c r="E10" s="7"/>
      <c r="F10" s="7"/>
      <c r="G10" s="7"/>
      <c r="H10" s="8"/>
      <c r="I10" s="5"/>
      <c r="K10" s="9"/>
      <c r="M10" s="10"/>
      <c r="N10" s="11"/>
      <c r="O10" s="11"/>
    </row>
    <row r="11" customFormat="false" ht="15.75" hidden="false" customHeight="false" outlineLevel="0" collapsed="false">
      <c r="A11" s="5"/>
      <c r="B11" s="5"/>
      <c r="C11" s="6"/>
      <c r="D11" s="7"/>
      <c r="E11" s="7"/>
      <c r="F11" s="7"/>
      <c r="G11" s="7"/>
      <c r="H11" s="8"/>
      <c r="I11" s="5"/>
      <c r="K11" s="9"/>
      <c r="M11" s="10"/>
      <c r="N11" s="11"/>
      <c r="O11" s="11"/>
    </row>
    <row r="12" customFormat="false" ht="15.75" hidden="false" customHeight="false" outlineLevel="0" collapsed="false">
      <c r="A12" s="5"/>
      <c r="B12" s="5"/>
      <c r="C12" s="6"/>
      <c r="D12" s="7"/>
      <c r="E12" s="7"/>
      <c r="F12" s="7"/>
      <c r="G12" s="7"/>
      <c r="H12" s="8"/>
      <c r="I12" s="5"/>
      <c r="K12" s="9"/>
      <c r="M12" s="10"/>
      <c r="N12" s="11"/>
      <c r="O12" s="11"/>
    </row>
    <row r="13" customFormat="false" ht="15.75" hidden="false" customHeight="false" outlineLevel="0" collapsed="false">
      <c r="A13" s="5"/>
      <c r="B13" s="5"/>
      <c r="C13" s="6"/>
      <c r="D13" s="7"/>
      <c r="E13" s="7"/>
      <c r="F13" s="7"/>
      <c r="G13" s="7"/>
      <c r="H13" s="8"/>
      <c r="I13" s="5"/>
      <c r="K13" s="9"/>
      <c r="M13" s="10"/>
      <c r="N13" s="11"/>
    </row>
    <row r="14" customFormat="false" ht="15.75" hidden="false" customHeight="false" outlineLevel="0" collapsed="false">
      <c r="A14" s="5"/>
      <c r="B14" s="5"/>
      <c r="C14" s="6"/>
      <c r="D14" s="7"/>
      <c r="E14" s="7"/>
      <c r="F14" s="7"/>
      <c r="G14" s="7"/>
      <c r="H14" s="8"/>
      <c r="I14" s="5"/>
      <c r="K14" s="9"/>
      <c r="M14" s="10"/>
      <c r="N14" s="11"/>
    </row>
    <row r="15" customFormat="false" ht="15.75" hidden="false" customHeight="false" outlineLevel="0" collapsed="false">
      <c r="A15" s="5"/>
      <c r="B15" s="5"/>
      <c r="C15" s="6"/>
      <c r="D15" s="7"/>
      <c r="E15" s="7"/>
      <c r="F15" s="7"/>
      <c r="G15" s="7"/>
      <c r="H15" s="8"/>
      <c r="I15" s="5"/>
      <c r="K15" s="9"/>
      <c r="M15" s="10"/>
      <c r="N15" s="11"/>
    </row>
    <row r="16" customFormat="false" ht="15.75" hidden="false" customHeight="false" outlineLevel="0" collapsed="false">
      <c r="A16" s="5"/>
      <c r="B16" s="5"/>
      <c r="C16" s="6"/>
      <c r="D16" s="7"/>
      <c r="E16" s="7"/>
      <c r="F16" s="7"/>
      <c r="G16" s="7"/>
      <c r="H16" s="8"/>
      <c r="I16" s="5"/>
      <c r="K16" s="9"/>
      <c r="M16" s="10"/>
      <c r="N16" s="11"/>
    </row>
    <row r="17" customFormat="false" ht="15.75" hidden="false" customHeight="false" outlineLevel="0" collapsed="false">
      <c r="A17" s="5"/>
      <c r="B17" s="5"/>
      <c r="C17" s="6"/>
      <c r="D17" s="7"/>
      <c r="E17" s="7"/>
      <c r="F17" s="7"/>
      <c r="G17" s="7"/>
      <c r="H17" s="8"/>
      <c r="I17" s="5"/>
      <c r="K17" s="9"/>
      <c r="M17" s="10"/>
      <c r="N17" s="13"/>
    </row>
    <row r="18" customFormat="false" ht="15.75" hidden="false" customHeight="false" outlineLevel="0" collapsed="false">
      <c r="A18" s="5"/>
      <c r="B18" s="5"/>
      <c r="C18" s="6"/>
      <c r="D18" s="7"/>
      <c r="E18" s="7"/>
      <c r="F18" s="7"/>
      <c r="G18" s="7"/>
      <c r="H18" s="8"/>
      <c r="I18" s="5"/>
      <c r="K18" s="9"/>
      <c r="M18" s="10"/>
      <c r="N18" s="11"/>
    </row>
    <row r="19" customFormat="false" ht="15.75" hidden="false" customHeight="false" outlineLevel="0" collapsed="false">
      <c r="A19" s="5"/>
      <c r="B19" s="5"/>
      <c r="C19" s="6"/>
      <c r="D19" s="7"/>
      <c r="E19" s="7"/>
      <c r="F19" s="7"/>
      <c r="G19" s="7"/>
      <c r="H19" s="8"/>
      <c r="I19" s="5"/>
      <c r="K19" s="9"/>
      <c r="M19" s="10"/>
      <c r="N19" s="11"/>
    </row>
    <row r="20" customFormat="false" ht="15.75" hidden="false" customHeight="false" outlineLevel="0" collapsed="false">
      <c r="A20" s="5"/>
      <c r="B20" s="5"/>
      <c r="C20" s="6"/>
      <c r="D20" s="7"/>
      <c r="E20" s="7"/>
      <c r="F20" s="7"/>
      <c r="G20" s="7"/>
      <c r="H20" s="8"/>
      <c r="I20" s="5"/>
      <c r="K20" s="9"/>
      <c r="M20" s="10"/>
      <c r="N20" s="11"/>
    </row>
    <row r="21" customFormat="false" ht="15.75" hidden="false" customHeight="false" outlineLevel="0" collapsed="false">
      <c r="A21" s="5"/>
      <c r="B21" s="5"/>
      <c r="C21" s="6"/>
      <c r="D21" s="7"/>
      <c r="E21" s="7"/>
      <c r="F21" s="7"/>
      <c r="G21" s="7"/>
      <c r="H21" s="8"/>
      <c r="I21" s="5"/>
      <c r="K21" s="9"/>
    </row>
    <row r="22" customFormat="false" ht="15.75" hidden="false" customHeight="false" outlineLevel="0" collapsed="false">
      <c r="A22" s="5"/>
      <c r="B22" s="14"/>
      <c r="C22" s="15"/>
      <c r="D22" s="16"/>
      <c r="E22" s="16"/>
      <c r="F22" s="16"/>
      <c r="G22" s="16"/>
      <c r="H22" s="16"/>
      <c r="I22" s="5"/>
      <c r="K22" s="9"/>
    </row>
    <row r="23" customFormat="false" ht="15.75" hidden="false" customHeight="false" outlineLevel="0" collapsed="false">
      <c r="A23" s="5"/>
      <c r="B23" s="14"/>
      <c r="C23" s="15"/>
      <c r="D23" s="16"/>
      <c r="E23" s="16"/>
      <c r="F23" s="16"/>
      <c r="G23" s="16"/>
      <c r="H23" s="16"/>
      <c r="I23" s="5"/>
      <c r="K23" s="9"/>
    </row>
    <row r="24" customFormat="false" ht="15.75" hidden="false" customHeight="false" outlineLevel="0" collapsed="false">
      <c r="A24" s="5"/>
      <c r="B24" s="14"/>
      <c r="C24" s="15"/>
      <c r="D24" s="16"/>
      <c r="E24" s="16"/>
      <c r="F24" s="16"/>
      <c r="G24" s="16"/>
      <c r="H24" s="16"/>
      <c r="I24" s="5"/>
      <c r="K24" s="9"/>
    </row>
    <row r="25" customFormat="false" ht="15.75" hidden="false" customHeight="false" outlineLevel="0" collapsed="false">
      <c r="A25" s="5"/>
      <c r="B25" s="14"/>
      <c r="C25" s="15"/>
      <c r="D25" s="16"/>
      <c r="E25" s="16"/>
      <c r="F25" s="16"/>
      <c r="G25" s="16"/>
      <c r="H25" s="16"/>
      <c r="I25" s="5"/>
      <c r="K25" s="9"/>
    </row>
    <row r="26" customFormat="false" ht="15.75" hidden="false" customHeight="false" outlineLevel="0" collapsed="false">
      <c r="A26" s="5"/>
      <c r="B26" s="14"/>
      <c r="C26" s="15"/>
      <c r="D26" s="16"/>
      <c r="E26" s="16"/>
      <c r="F26" s="16"/>
      <c r="G26" s="16"/>
      <c r="H26" s="16"/>
      <c r="I26" s="5"/>
      <c r="K26" s="9"/>
    </row>
    <row r="27" customFormat="false" ht="15.75" hidden="false" customHeight="false" outlineLevel="0" collapsed="false">
      <c r="A27" s="5"/>
      <c r="B27" s="14"/>
      <c r="C27" s="15"/>
      <c r="D27" s="16"/>
      <c r="E27" s="16"/>
      <c r="F27" s="16"/>
      <c r="G27" s="16"/>
      <c r="H27" s="16"/>
      <c r="I27" s="5"/>
      <c r="K27" s="9"/>
    </row>
    <row r="28" customFormat="false" ht="15.75" hidden="false" customHeight="false" outlineLevel="0" collapsed="false">
      <c r="A28" s="5"/>
      <c r="B28" s="14"/>
      <c r="C28" s="15"/>
      <c r="D28" s="16"/>
      <c r="E28" s="16"/>
      <c r="F28" s="16"/>
      <c r="G28" s="16"/>
      <c r="H28" s="16"/>
      <c r="I28" s="5"/>
      <c r="K28" s="9"/>
    </row>
    <row r="29" customFormat="false" ht="15.75" hidden="false" customHeight="false" outlineLevel="0" collapsed="false">
      <c r="A29" s="5"/>
      <c r="B29" s="14"/>
      <c r="C29" s="15"/>
      <c r="D29" s="16"/>
      <c r="E29" s="16"/>
      <c r="F29" s="16"/>
      <c r="G29" s="16"/>
      <c r="H29" s="16"/>
      <c r="I29" s="5"/>
      <c r="K29" s="9"/>
    </row>
    <row r="30" customFormat="false" ht="15.75" hidden="false" customHeight="false" outlineLevel="0" collapsed="false">
      <c r="A30" s="5"/>
      <c r="B30" s="14"/>
      <c r="C30" s="15"/>
      <c r="D30" s="16"/>
      <c r="E30" s="16"/>
      <c r="F30" s="16"/>
      <c r="G30" s="16"/>
      <c r="H30" s="16"/>
      <c r="I30" s="5"/>
      <c r="K30" s="9"/>
    </row>
    <row r="31" customFormat="false" ht="15.75" hidden="false" customHeight="false" outlineLevel="0" collapsed="false">
      <c r="A31" s="5"/>
      <c r="B31" s="14"/>
      <c r="C31" s="15"/>
      <c r="D31" s="16"/>
      <c r="E31" s="16"/>
      <c r="F31" s="16"/>
      <c r="G31" s="16"/>
      <c r="H31" s="16"/>
      <c r="I31" s="5"/>
      <c r="K31" s="9"/>
    </row>
    <row r="32" customFormat="false" ht="15.75" hidden="false" customHeight="false" outlineLevel="0" collapsed="false">
      <c r="A32" s="5"/>
      <c r="B32" s="14"/>
      <c r="C32" s="15"/>
      <c r="D32" s="16"/>
      <c r="E32" s="16"/>
      <c r="F32" s="16"/>
      <c r="G32" s="16"/>
      <c r="H32" s="16"/>
      <c r="I32" s="5"/>
      <c r="K32" s="9"/>
    </row>
    <row r="33" customFormat="false" ht="15.75" hidden="false" customHeight="false" outlineLevel="0" collapsed="false">
      <c r="A33" s="5"/>
      <c r="B33" s="14"/>
      <c r="C33" s="15"/>
      <c r="D33" s="16"/>
      <c r="E33" s="16"/>
      <c r="F33" s="16"/>
      <c r="G33" s="16"/>
      <c r="H33" s="16"/>
      <c r="I33" s="5"/>
      <c r="K33" s="9"/>
    </row>
    <row r="34" customFormat="false" ht="15.75" hidden="false" customHeight="false" outlineLevel="0" collapsed="false">
      <c r="A34" s="5"/>
      <c r="B34" s="14"/>
      <c r="C34" s="15"/>
      <c r="D34" s="16"/>
      <c r="E34" s="16"/>
      <c r="F34" s="16"/>
      <c r="G34" s="16"/>
      <c r="H34" s="16"/>
      <c r="I34" s="5"/>
      <c r="K34" s="9"/>
    </row>
    <row r="35" customFormat="false" ht="15.75" hidden="false" customHeight="false" outlineLevel="0" collapsed="false">
      <c r="A35" s="5"/>
      <c r="B35" s="14"/>
      <c r="C35" s="15"/>
      <c r="D35" s="16"/>
      <c r="E35" s="16"/>
      <c r="F35" s="16"/>
      <c r="G35" s="16"/>
      <c r="H35" s="16"/>
      <c r="I35" s="5"/>
      <c r="K35" s="9"/>
    </row>
    <row r="36" customFormat="false" ht="15.75" hidden="false" customHeight="false" outlineLevel="0" collapsed="false">
      <c r="A36" s="5"/>
      <c r="B36" s="14"/>
      <c r="C36" s="15"/>
      <c r="D36" s="16"/>
      <c r="E36" s="16"/>
      <c r="F36" s="16"/>
      <c r="G36" s="16"/>
      <c r="H36" s="16"/>
      <c r="I36" s="5"/>
      <c r="K36" s="9"/>
    </row>
    <row r="37" customFormat="false" ht="15.75" hidden="false" customHeight="false" outlineLevel="0" collapsed="false">
      <c r="A37" s="5"/>
      <c r="B37" s="14"/>
      <c r="C37" s="15"/>
      <c r="D37" s="16"/>
      <c r="E37" s="16"/>
      <c r="F37" s="16"/>
      <c r="G37" s="16"/>
      <c r="H37" s="16"/>
      <c r="I37" s="5"/>
      <c r="K37" s="9"/>
    </row>
    <row r="38" customFormat="false" ht="15.75" hidden="false" customHeight="false" outlineLevel="0" collapsed="false">
      <c r="A38" s="5"/>
      <c r="B38" s="14"/>
      <c r="C38" s="15"/>
      <c r="D38" s="16"/>
      <c r="E38" s="16"/>
      <c r="F38" s="16"/>
      <c r="G38" s="16"/>
      <c r="H38" s="16"/>
      <c r="I38" s="5"/>
      <c r="K38" s="9"/>
    </row>
    <row r="39" customFormat="false" ht="15.75" hidden="false" customHeight="false" outlineLevel="0" collapsed="false">
      <c r="A39" s="5"/>
      <c r="B39" s="14"/>
      <c r="C39" s="15"/>
      <c r="D39" s="16"/>
      <c r="E39" s="16"/>
      <c r="F39" s="16"/>
      <c r="G39" s="16"/>
      <c r="H39" s="16"/>
      <c r="I39" s="5"/>
      <c r="K39" s="9"/>
    </row>
    <row r="40" customFormat="false" ht="15.75" hidden="false" customHeight="false" outlineLevel="0" collapsed="false">
      <c r="A40" s="5"/>
      <c r="B40" s="14"/>
      <c r="C40" s="15"/>
      <c r="D40" s="16"/>
      <c r="E40" s="16"/>
      <c r="F40" s="16"/>
      <c r="G40" s="16"/>
      <c r="H40" s="16"/>
      <c r="I40" s="5"/>
      <c r="K40" s="9"/>
    </row>
    <row r="41" customFormat="false" ht="15.75" hidden="false" customHeight="false" outlineLevel="0" collapsed="false">
      <c r="A41" s="5"/>
      <c r="B41" s="14"/>
      <c r="C41" s="15"/>
      <c r="D41" s="16"/>
      <c r="E41" s="16"/>
      <c r="F41" s="16"/>
      <c r="G41" s="16"/>
      <c r="H41" s="16"/>
      <c r="I41" s="5"/>
      <c r="K41" s="9"/>
    </row>
    <row r="42" customFormat="false" ht="15.75" hidden="false" customHeight="false" outlineLevel="0" collapsed="false">
      <c r="A42" s="5"/>
      <c r="B42" s="14"/>
      <c r="C42" s="15"/>
      <c r="D42" s="16"/>
      <c r="E42" s="16"/>
      <c r="F42" s="16"/>
      <c r="G42" s="16"/>
      <c r="H42" s="16"/>
      <c r="I42" s="5"/>
      <c r="K42" s="9"/>
    </row>
    <row r="43" customFormat="false" ht="15.75" hidden="false" customHeight="false" outlineLevel="0" collapsed="false">
      <c r="A43" s="5"/>
      <c r="B43" s="14"/>
      <c r="C43" s="15"/>
      <c r="D43" s="16"/>
      <c r="E43" s="16"/>
      <c r="F43" s="16"/>
      <c r="G43" s="16"/>
      <c r="H43" s="16"/>
      <c r="I43" s="5"/>
      <c r="K43" s="9"/>
    </row>
    <row r="44" customFormat="false" ht="15.75" hidden="false" customHeight="false" outlineLevel="0" collapsed="false">
      <c r="A44" s="5"/>
      <c r="B44" s="14"/>
      <c r="C44" s="15"/>
      <c r="D44" s="16"/>
      <c r="E44" s="16"/>
      <c r="F44" s="16"/>
      <c r="G44" s="16"/>
      <c r="H44" s="16"/>
      <c r="I44" s="5"/>
      <c r="K44" s="9"/>
    </row>
    <row r="45" customFormat="false" ht="15.75" hidden="false" customHeight="false" outlineLevel="0" collapsed="false">
      <c r="A45" s="5"/>
      <c r="B45" s="14"/>
      <c r="C45" s="15"/>
      <c r="D45" s="16"/>
      <c r="E45" s="16"/>
      <c r="F45" s="16"/>
      <c r="G45" s="16"/>
      <c r="H45" s="16"/>
      <c r="I45" s="5"/>
      <c r="K45" s="9"/>
    </row>
    <row r="46" customFormat="false" ht="15.75" hidden="false" customHeight="false" outlineLevel="0" collapsed="false">
      <c r="A46" s="5"/>
      <c r="B46" s="14"/>
      <c r="C46" s="15"/>
      <c r="D46" s="16"/>
      <c r="E46" s="16"/>
      <c r="F46" s="16"/>
      <c r="G46" s="16"/>
      <c r="H46" s="16"/>
      <c r="I46" s="5"/>
      <c r="K46" s="9"/>
    </row>
    <row r="47" customFormat="false" ht="15.75" hidden="false" customHeight="false" outlineLevel="0" collapsed="false">
      <c r="A47" s="5"/>
      <c r="B47" s="14"/>
      <c r="C47" s="15"/>
      <c r="D47" s="16"/>
      <c r="E47" s="16"/>
      <c r="F47" s="16"/>
      <c r="G47" s="16"/>
      <c r="H47" s="16"/>
      <c r="I47" s="5"/>
      <c r="K47" s="9"/>
    </row>
    <row r="48" customFormat="false" ht="15.75" hidden="false" customHeight="false" outlineLevel="0" collapsed="false">
      <c r="A48" s="5"/>
      <c r="B48" s="14"/>
      <c r="C48" s="15"/>
      <c r="D48" s="16"/>
      <c r="E48" s="16"/>
      <c r="F48" s="16"/>
      <c r="G48" s="16"/>
      <c r="H48" s="16"/>
      <c r="I48" s="5"/>
      <c r="K48" s="9"/>
      <c r="N48" s="17"/>
    </row>
    <row r="49" customFormat="false" ht="15.75" hidden="false" customHeight="false" outlineLevel="0" collapsed="false">
      <c r="A49" s="5"/>
      <c r="B49" s="14"/>
      <c r="C49" s="15"/>
      <c r="D49" s="16"/>
      <c r="E49" s="16"/>
      <c r="F49" s="16"/>
      <c r="G49" s="16"/>
      <c r="H49" s="16"/>
      <c r="I49" s="5"/>
      <c r="K49" s="9"/>
    </row>
    <row r="50" customFormat="false" ht="15.75" hidden="false" customHeight="false" outlineLevel="0" collapsed="false">
      <c r="A50" s="5"/>
      <c r="B50" s="14"/>
      <c r="C50" s="15"/>
      <c r="D50" s="16"/>
      <c r="E50" s="16"/>
      <c r="F50" s="16"/>
      <c r="G50" s="16"/>
      <c r="H50" s="16"/>
      <c r="I50" s="5"/>
      <c r="K50" s="9"/>
    </row>
    <row r="51" customFormat="false" ht="15.75" hidden="false" customHeight="false" outlineLevel="0" collapsed="false">
      <c r="A51" s="5"/>
      <c r="B51" s="14"/>
      <c r="C51" s="15"/>
      <c r="D51" s="16"/>
      <c r="E51" s="16"/>
      <c r="F51" s="16"/>
      <c r="G51" s="16"/>
      <c r="H51" s="16"/>
      <c r="I51" s="5"/>
      <c r="K51" s="9"/>
    </row>
    <row r="52" customFormat="false" ht="15.75" hidden="false" customHeight="false" outlineLevel="0" collapsed="false">
      <c r="A52" s="5"/>
      <c r="B52" s="14"/>
      <c r="C52" s="15"/>
      <c r="D52" s="16"/>
      <c r="E52" s="16"/>
      <c r="F52" s="16"/>
      <c r="G52" s="16"/>
      <c r="H52" s="16"/>
      <c r="I52" s="5"/>
      <c r="K52" s="9"/>
      <c r="M52" s="9" t="str">
        <f aca="false">MID(B52,1,1)</f>
        <v/>
      </c>
    </row>
    <row r="53" customFormat="false" ht="15.75" hidden="false" customHeight="false" outlineLevel="0" collapsed="false">
      <c r="A53" s="5"/>
      <c r="B53" s="14"/>
      <c r="C53" s="15"/>
      <c r="D53" s="16"/>
      <c r="E53" s="16"/>
      <c r="F53" s="16"/>
      <c r="G53" s="16"/>
      <c r="H53" s="16"/>
      <c r="I53" s="5"/>
      <c r="K53" s="9"/>
      <c r="M53" s="9" t="str">
        <f aca="false">MID(B53,1,1)</f>
        <v/>
      </c>
    </row>
    <row r="54" customFormat="false" ht="15.75" hidden="false" customHeight="false" outlineLevel="0" collapsed="false">
      <c r="A54" s="5"/>
      <c r="B54" s="14"/>
      <c r="C54" s="15"/>
      <c r="D54" s="16"/>
      <c r="E54" s="16"/>
      <c r="F54" s="16"/>
      <c r="G54" s="16"/>
      <c r="H54" s="16"/>
      <c r="I54" s="5"/>
      <c r="K54" s="9"/>
      <c r="M54" s="9" t="str">
        <f aca="false">MID(B54,1,1)</f>
        <v/>
      </c>
    </row>
    <row r="55" customFormat="false" ht="15.75" hidden="false" customHeight="false" outlineLevel="0" collapsed="false">
      <c r="A55" s="5"/>
      <c r="B55" s="14"/>
      <c r="C55" s="15"/>
      <c r="D55" s="16"/>
      <c r="E55" s="16"/>
      <c r="F55" s="16"/>
      <c r="G55" s="16"/>
      <c r="H55" s="16"/>
      <c r="I55" s="5"/>
      <c r="K55" s="9"/>
      <c r="M55" s="9" t="str">
        <f aca="false">MID(B55,1,1)</f>
        <v/>
      </c>
    </row>
    <row r="56" customFormat="false" ht="15.75" hidden="false" customHeight="false" outlineLevel="0" collapsed="false">
      <c r="A56" s="5"/>
      <c r="B56" s="14"/>
      <c r="C56" s="15"/>
      <c r="D56" s="16"/>
      <c r="E56" s="16"/>
      <c r="F56" s="16"/>
      <c r="G56" s="16"/>
      <c r="H56" s="16"/>
      <c r="I56" s="5"/>
      <c r="K56" s="9"/>
      <c r="M56" s="9" t="str">
        <f aca="false">MID(B56,1,1)</f>
        <v/>
      </c>
    </row>
    <row r="57" customFormat="false" ht="15.75" hidden="false" customHeight="false" outlineLevel="0" collapsed="false">
      <c r="A57" s="5"/>
      <c r="B57" s="14"/>
      <c r="C57" s="15"/>
      <c r="D57" s="16"/>
      <c r="E57" s="16"/>
      <c r="F57" s="16"/>
      <c r="G57" s="16"/>
      <c r="H57" s="16"/>
      <c r="I57" s="5"/>
      <c r="K57" s="9"/>
      <c r="M57" s="9" t="str">
        <f aca="false">MID(B57,1,1)</f>
        <v/>
      </c>
    </row>
    <row r="58" customFormat="false" ht="15.75" hidden="false" customHeight="false" outlineLevel="0" collapsed="false">
      <c r="A58" s="5"/>
      <c r="B58" s="14"/>
      <c r="C58" s="15"/>
      <c r="D58" s="16"/>
      <c r="E58" s="16"/>
      <c r="F58" s="16"/>
      <c r="G58" s="16"/>
      <c r="H58" s="16"/>
      <c r="I58" s="5"/>
      <c r="K58" s="9"/>
      <c r="M58" s="9" t="str">
        <f aca="false">MID(B58,1,1)</f>
        <v/>
      </c>
    </row>
    <row r="59" customFormat="false" ht="15.75" hidden="false" customHeight="false" outlineLevel="0" collapsed="false">
      <c r="A59" s="5"/>
      <c r="B59" s="14"/>
      <c r="C59" s="15"/>
      <c r="D59" s="16"/>
      <c r="E59" s="16"/>
      <c r="F59" s="16"/>
      <c r="G59" s="16"/>
      <c r="H59" s="16"/>
      <c r="I59" s="5"/>
      <c r="K59" s="9"/>
      <c r="M59" s="9" t="str">
        <f aca="false">MID(B59,1,1)</f>
        <v/>
      </c>
    </row>
    <row r="60" customFormat="false" ht="15.75" hidden="false" customHeight="false" outlineLevel="0" collapsed="false">
      <c r="A60" s="5"/>
      <c r="B60" s="14"/>
      <c r="C60" s="15"/>
      <c r="D60" s="16"/>
      <c r="E60" s="16"/>
      <c r="F60" s="16"/>
      <c r="G60" s="16"/>
      <c r="H60" s="16"/>
      <c r="I60" s="5"/>
      <c r="K60" s="9"/>
      <c r="M60" s="9" t="str">
        <f aca="false">MID(B60,1,1)</f>
        <v/>
      </c>
    </row>
    <row r="61" customFormat="false" ht="15.75" hidden="false" customHeight="false" outlineLevel="0" collapsed="false">
      <c r="A61" s="5"/>
      <c r="B61" s="14"/>
      <c r="C61" s="15"/>
      <c r="D61" s="16"/>
      <c r="E61" s="16"/>
      <c r="F61" s="16"/>
      <c r="G61" s="16"/>
      <c r="H61" s="16"/>
      <c r="I61" s="5"/>
      <c r="K61" s="9"/>
      <c r="M61" s="9" t="str">
        <f aca="false">MID(B61,1,1)</f>
        <v/>
      </c>
    </row>
    <row r="62" customFormat="false" ht="15.75" hidden="false" customHeight="false" outlineLevel="0" collapsed="false">
      <c r="A62" s="5"/>
      <c r="B62" s="14"/>
      <c r="C62" s="15"/>
      <c r="D62" s="16"/>
      <c r="E62" s="16"/>
      <c r="F62" s="16"/>
      <c r="G62" s="16"/>
      <c r="H62" s="16"/>
      <c r="I62" s="5"/>
      <c r="K62" s="9"/>
      <c r="M62" s="9" t="str">
        <f aca="false">MID(B62,1,1)</f>
        <v/>
      </c>
    </row>
    <row r="63" customFormat="false" ht="15.75" hidden="false" customHeight="false" outlineLevel="0" collapsed="false">
      <c r="A63" s="5"/>
      <c r="B63" s="14"/>
      <c r="C63" s="15"/>
      <c r="D63" s="16"/>
      <c r="E63" s="16"/>
      <c r="F63" s="16"/>
      <c r="G63" s="16"/>
      <c r="H63" s="16"/>
      <c r="I63" s="5"/>
      <c r="K63" s="9"/>
      <c r="M63" s="9" t="str">
        <f aca="false">MID(B63,1,1)</f>
        <v/>
      </c>
    </row>
    <row r="64" customFormat="false" ht="15.75" hidden="false" customHeight="false" outlineLevel="0" collapsed="false">
      <c r="A64" s="5"/>
      <c r="B64" s="14"/>
      <c r="C64" s="15"/>
      <c r="D64" s="16"/>
      <c r="E64" s="16"/>
      <c r="F64" s="16"/>
      <c r="G64" s="16"/>
      <c r="H64" s="16"/>
      <c r="I64" s="5"/>
      <c r="K64" s="9"/>
      <c r="M64" s="9" t="str">
        <f aca="false">MID(B64,1,1)</f>
        <v/>
      </c>
    </row>
    <row r="65" customFormat="false" ht="15.75" hidden="false" customHeight="false" outlineLevel="0" collapsed="false">
      <c r="A65" s="5"/>
      <c r="B65" s="14"/>
      <c r="C65" s="15"/>
      <c r="D65" s="16"/>
      <c r="E65" s="16"/>
      <c r="F65" s="16"/>
      <c r="G65" s="16"/>
      <c r="H65" s="16"/>
      <c r="I65" s="5"/>
      <c r="K65" s="9"/>
      <c r="M65" s="9" t="str">
        <f aca="false">MID(B65,1,1)</f>
        <v/>
      </c>
    </row>
    <row r="66" customFormat="false" ht="15.75" hidden="false" customHeight="false" outlineLevel="0" collapsed="false">
      <c r="A66" s="5"/>
      <c r="B66" s="14"/>
      <c r="C66" s="15"/>
      <c r="D66" s="16"/>
      <c r="E66" s="16"/>
      <c r="F66" s="16"/>
      <c r="G66" s="16"/>
      <c r="H66" s="16"/>
      <c r="I66" s="5"/>
      <c r="K66" s="9"/>
      <c r="M66" s="9" t="str">
        <f aca="false">MID(B66,1,1)</f>
        <v/>
      </c>
    </row>
    <row r="67" customFormat="false" ht="15.75" hidden="false" customHeight="false" outlineLevel="0" collapsed="false">
      <c r="A67" s="5"/>
      <c r="B67" s="14"/>
      <c r="C67" s="15"/>
      <c r="D67" s="16"/>
      <c r="E67" s="16"/>
      <c r="F67" s="16"/>
      <c r="G67" s="16"/>
      <c r="H67" s="16"/>
      <c r="I67" s="5"/>
      <c r="K67" s="9"/>
      <c r="M67" s="9" t="str">
        <f aca="false">MID(B67,1,1)</f>
        <v/>
      </c>
    </row>
    <row r="68" customFormat="false" ht="15.75" hidden="false" customHeight="false" outlineLevel="0" collapsed="false">
      <c r="A68" s="5"/>
      <c r="B68" s="14"/>
      <c r="C68" s="15"/>
      <c r="D68" s="16"/>
      <c r="E68" s="16"/>
      <c r="F68" s="16"/>
      <c r="G68" s="16"/>
      <c r="H68" s="16"/>
      <c r="I68" s="5"/>
      <c r="K68" s="9"/>
      <c r="M68" s="9" t="str">
        <f aca="false">MID(B68,1,1)</f>
        <v/>
      </c>
    </row>
    <row r="69" customFormat="false" ht="15.75" hidden="false" customHeight="false" outlineLevel="0" collapsed="false">
      <c r="A69" s="18"/>
      <c r="B69" s="14"/>
      <c r="C69" s="15"/>
      <c r="D69" s="16"/>
      <c r="E69" s="16"/>
      <c r="F69" s="16"/>
      <c r="G69" s="16"/>
      <c r="H69" s="16"/>
      <c r="I69" s="5"/>
      <c r="K69" s="9"/>
      <c r="M69" s="9" t="str">
        <f aca="false">MID(B69,1,1)</f>
        <v/>
      </c>
      <c r="O69" s="19"/>
      <c r="Q69" s="19"/>
      <c r="R69" s="19"/>
      <c r="S69" s="19"/>
      <c r="T69" s="19"/>
      <c r="U69" s="19"/>
      <c r="V69" s="19"/>
      <c r="W69" s="19"/>
      <c r="X69" s="19"/>
    </row>
    <row r="70" customFormat="false" ht="15.75" hidden="false" customHeight="false" outlineLevel="0" collapsed="false">
      <c r="A70" s="5"/>
      <c r="B70" s="14"/>
      <c r="C70" s="15"/>
      <c r="D70" s="16"/>
      <c r="E70" s="16"/>
      <c r="F70" s="16"/>
      <c r="G70" s="16"/>
      <c r="H70" s="16"/>
      <c r="I70" s="5"/>
      <c r="K70" s="9"/>
      <c r="M70" s="9" t="str">
        <f aca="false">MID(B70,1,1)</f>
        <v/>
      </c>
    </row>
    <row r="71" customFormat="false" ht="15.75" hidden="false" customHeight="false" outlineLevel="0" collapsed="false">
      <c r="A71" s="5"/>
      <c r="B71" s="14"/>
      <c r="C71" s="15"/>
      <c r="D71" s="16"/>
      <c r="E71" s="16"/>
      <c r="F71" s="16"/>
      <c r="G71" s="16"/>
      <c r="H71" s="16"/>
      <c r="I71" s="5"/>
      <c r="K71" s="9"/>
      <c r="M71" s="9" t="str">
        <f aca="false">MID(B71,1,1)</f>
        <v/>
      </c>
    </row>
    <row r="72" customFormat="false" ht="15.75" hidden="false" customHeight="false" outlineLevel="0" collapsed="false">
      <c r="A72" s="18"/>
      <c r="B72" s="14"/>
      <c r="C72" s="15"/>
      <c r="D72" s="16"/>
      <c r="E72" s="16"/>
      <c r="F72" s="16"/>
      <c r="G72" s="16"/>
      <c r="H72" s="16"/>
      <c r="I72" s="5"/>
      <c r="K72" s="9"/>
      <c r="M72" s="9" t="str">
        <f aca="false">MID(B72,1,1)</f>
        <v/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customFormat="false" ht="15.75" hidden="false" customHeight="false" outlineLevel="0" collapsed="false">
      <c r="B73" s="14"/>
      <c r="C73" s="15"/>
      <c r="D73" s="16"/>
      <c r="E73" s="16"/>
      <c r="F73" s="16"/>
      <c r="G73" s="16"/>
      <c r="H73" s="16"/>
      <c r="I73" s="5"/>
      <c r="K73" s="9"/>
      <c r="M73" s="9" t="str">
        <f aca="false">MID(B73,1,1)</f>
        <v/>
      </c>
    </row>
    <row r="74" customFormat="false" ht="15.75" hidden="false" customHeight="false" outlineLevel="0" collapsed="false">
      <c r="B74" s="14"/>
      <c r="C74" s="15"/>
      <c r="D74" s="16"/>
      <c r="E74" s="16"/>
      <c r="F74" s="16"/>
      <c r="G74" s="16"/>
      <c r="H74" s="16"/>
      <c r="I74" s="5"/>
      <c r="K74" s="9"/>
      <c r="M74" s="9" t="str">
        <f aca="false">MID(B74,1,1)</f>
        <v/>
      </c>
    </row>
    <row r="75" customFormat="false" ht="15.75" hidden="false" customHeight="false" outlineLevel="0" collapsed="false">
      <c r="B75" s="14"/>
      <c r="C75" s="15"/>
      <c r="D75" s="16"/>
      <c r="E75" s="16"/>
      <c r="F75" s="16"/>
      <c r="G75" s="16"/>
      <c r="H75" s="16"/>
      <c r="I75" s="5"/>
      <c r="K75" s="9"/>
      <c r="M75" s="9" t="str">
        <f aca="false">MID(B75,1,1)</f>
        <v/>
      </c>
    </row>
    <row r="76" customFormat="false" ht="15.75" hidden="false" customHeight="false" outlineLevel="0" collapsed="false">
      <c r="B76" s="14"/>
      <c r="C76" s="15"/>
      <c r="D76" s="16"/>
      <c r="E76" s="16"/>
      <c r="F76" s="16"/>
      <c r="G76" s="16"/>
      <c r="H76" s="16"/>
      <c r="I76" s="5"/>
      <c r="K76" s="9"/>
      <c r="M76" s="9" t="str">
        <f aca="false">MID(B76,1,1)</f>
        <v/>
      </c>
    </row>
    <row r="77" customFormat="false" ht="15.75" hidden="false" customHeight="false" outlineLevel="0" collapsed="false">
      <c r="B77" s="14"/>
      <c r="C77" s="15"/>
      <c r="D77" s="16"/>
      <c r="E77" s="16"/>
      <c r="F77" s="16"/>
      <c r="G77" s="16"/>
      <c r="H77" s="16"/>
      <c r="I77" s="5"/>
      <c r="K77" s="9"/>
      <c r="M77" s="9" t="str">
        <f aca="false">MID(B77,1,1)</f>
        <v/>
      </c>
    </row>
    <row r="78" customFormat="false" ht="15.75" hidden="false" customHeight="false" outlineLevel="0" collapsed="false">
      <c r="B78" s="14"/>
      <c r="C78" s="15"/>
      <c r="D78" s="16"/>
      <c r="E78" s="16"/>
      <c r="F78" s="16"/>
      <c r="G78" s="16"/>
      <c r="H78" s="16"/>
      <c r="I78" s="5"/>
      <c r="K78" s="9"/>
      <c r="M78" s="9" t="str">
        <f aca="false">MID(B78,1,1)</f>
        <v/>
      </c>
    </row>
    <row r="79" customFormat="false" ht="15.75" hidden="false" customHeight="false" outlineLevel="0" collapsed="false">
      <c r="B79" s="14"/>
      <c r="C79" s="15"/>
      <c r="D79" s="16"/>
      <c r="E79" s="16"/>
      <c r="F79" s="16"/>
      <c r="G79" s="16"/>
      <c r="H79" s="16"/>
      <c r="I79" s="5"/>
      <c r="K79" s="9"/>
      <c r="M79" s="9" t="str">
        <f aca="false">MID(B79,1,1)</f>
        <v/>
      </c>
    </row>
    <row r="80" customFormat="false" ht="15.75" hidden="false" customHeight="false" outlineLevel="0" collapsed="false">
      <c r="B80" s="14"/>
      <c r="C80" s="15"/>
      <c r="D80" s="16"/>
      <c r="E80" s="16"/>
      <c r="F80" s="16"/>
      <c r="G80" s="16"/>
      <c r="H80" s="16"/>
      <c r="I80" s="5"/>
      <c r="K80" s="9"/>
      <c r="M80" s="9" t="str">
        <f aca="false">MID(B80,1,1)</f>
        <v/>
      </c>
    </row>
    <row r="81" customFormat="false" ht="15.75" hidden="false" customHeight="false" outlineLevel="0" collapsed="false">
      <c r="B81" s="14"/>
      <c r="C81" s="15"/>
      <c r="D81" s="16"/>
      <c r="E81" s="16"/>
      <c r="F81" s="16"/>
      <c r="G81" s="16"/>
      <c r="H81" s="16"/>
      <c r="I81" s="5"/>
      <c r="K81" s="9"/>
      <c r="M81" s="9" t="str">
        <f aca="false">MID(B81,1,1)</f>
        <v/>
      </c>
    </row>
    <row r="82" customFormat="false" ht="15.75" hidden="false" customHeight="false" outlineLevel="0" collapsed="false">
      <c r="B82" s="14"/>
      <c r="C82" s="15"/>
      <c r="D82" s="16"/>
      <c r="E82" s="16"/>
      <c r="F82" s="16"/>
      <c r="G82" s="16"/>
      <c r="H82" s="16"/>
      <c r="I82" s="5"/>
      <c r="K82" s="9"/>
      <c r="M82" s="9" t="str">
        <f aca="false">MID(B82,1,1)</f>
        <v/>
      </c>
    </row>
    <row r="83" customFormat="false" ht="15.75" hidden="false" customHeight="false" outlineLevel="0" collapsed="false">
      <c r="B83" s="14"/>
      <c r="C83" s="15"/>
      <c r="D83" s="16"/>
      <c r="E83" s="16"/>
      <c r="F83" s="16"/>
      <c r="G83" s="16"/>
      <c r="H83" s="16"/>
      <c r="I83" s="5"/>
      <c r="K83" s="9"/>
      <c r="M83" s="9" t="str">
        <f aca="false">MID(B83,1,1)</f>
        <v/>
      </c>
    </row>
    <row r="84" customFormat="false" ht="15.75" hidden="false" customHeight="false" outlineLevel="0" collapsed="false">
      <c r="B84" s="14"/>
      <c r="C84" s="15"/>
      <c r="D84" s="16"/>
      <c r="E84" s="16"/>
      <c r="F84" s="16"/>
      <c r="G84" s="16"/>
      <c r="H84" s="16"/>
      <c r="I84" s="5"/>
      <c r="K84" s="9"/>
      <c r="M84" s="9" t="str">
        <f aca="false">MID(B84,1,1)</f>
        <v/>
      </c>
    </row>
    <row r="85" customFormat="false" ht="15.75" hidden="false" customHeight="false" outlineLevel="0" collapsed="false">
      <c r="B85" s="14"/>
      <c r="C85" s="15"/>
      <c r="D85" s="16"/>
      <c r="E85" s="16"/>
      <c r="F85" s="16"/>
      <c r="G85" s="16"/>
      <c r="H85" s="16"/>
      <c r="I85" s="5"/>
      <c r="K85" s="9"/>
      <c r="M85" s="9" t="str">
        <f aca="false">MID(B85,1,1)</f>
        <v/>
      </c>
    </row>
    <row r="86" customFormat="false" ht="15.75" hidden="false" customHeight="false" outlineLevel="0" collapsed="false">
      <c r="B86" s="14"/>
      <c r="C86" s="15"/>
      <c r="D86" s="16"/>
      <c r="E86" s="16"/>
      <c r="F86" s="16"/>
      <c r="G86" s="16"/>
      <c r="H86" s="16"/>
      <c r="I86" s="5"/>
      <c r="K86" s="9"/>
      <c r="M86" s="9" t="str">
        <f aca="false">MID(B86,1,1)</f>
        <v/>
      </c>
    </row>
    <row r="87" customFormat="false" ht="15.75" hidden="false" customHeight="false" outlineLevel="0" collapsed="false">
      <c r="B87" s="14"/>
      <c r="C87" s="15"/>
      <c r="D87" s="16"/>
      <c r="E87" s="16"/>
      <c r="F87" s="16"/>
      <c r="G87" s="16"/>
      <c r="H87" s="16"/>
      <c r="I87" s="5"/>
      <c r="K87" s="9"/>
      <c r="M87" s="9" t="str">
        <f aca="false">MID(B87,1,1)</f>
        <v/>
      </c>
    </row>
    <row r="88" customFormat="false" ht="15.75" hidden="false" customHeight="false" outlineLevel="0" collapsed="false">
      <c r="B88" s="14"/>
      <c r="C88" s="15"/>
      <c r="D88" s="16"/>
      <c r="E88" s="16"/>
      <c r="F88" s="16"/>
      <c r="G88" s="16"/>
      <c r="H88" s="16"/>
      <c r="I88" s="5"/>
      <c r="K88" s="9"/>
      <c r="M88" s="9" t="str">
        <f aca="false">MID(B88,1,1)</f>
        <v/>
      </c>
    </row>
    <row r="89" customFormat="false" ht="15.75" hidden="false" customHeight="false" outlineLevel="0" collapsed="false">
      <c r="B89" s="14"/>
      <c r="C89" s="15"/>
      <c r="D89" s="16"/>
      <c r="E89" s="16"/>
      <c r="F89" s="16"/>
      <c r="G89" s="16"/>
      <c r="H89" s="16"/>
      <c r="I89" s="5"/>
      <c r="K89" s="9"/>
      <c r="M89" s="9" t="str">
        <f aca="false">MID(B89,1,1)</f>
        <v/>
      </c>
    </row>
    <row r="90" customFormat="false" ht="15.75" hidden="false" customHeight="false" outlineLevel="0" collapsed="false">
      <c r="B90" s="14"/>
      <c r="C90" s="15"/>
      <c r="D90" s="16"/>
      <c r="E90" s="16"/>
      <c r="F90" s="16"/>
      <c r="G90" s="16"/>
      <c r="H90" s="16"/>
      <c r="I90" s="5"/>
      <c r="K90" s="9"/>
      <c r="M90" s="9" t="str">
        <f aca="false">MID(B90,1,1)</f>
        <v/>
      </c>
    </row>
    <row r="91" customFormat="false" ht="15.75" hidden="false" customHeight="false" outlineLevel="0" collapsed="false">
      <c r="B91" s="14"/>
      <c r="C91" s="15"/>
      <c r="D91" s="16"/>
      <c r="E91" s="16"/>
      <c r="F91" s="16"/>
      <c r="G91" s="16"/>
      <c r="H91" s="16"/>
      <c r="I91" s="5"/>
      <c r="K91" s="9"/>
      <c r="M91" s="9" t="str">
        <f aca="false">MID(B91,1,1)</f>
        <v/>
      </c>
    </row>
    <row r="92" customFormat="false" ht="15.75" hidden="false" customHeight="false" outlineLevel="0" collapsed="false">
      <c r="B92" s="14"/>
      <c r="C92" s="15"/>
      <c r="D92" s="16"/>
      <c r="E92" s="16"/>
      <c r="F92" s="16"/>
      <c r="G92" s="16"/>
      <c r="H92" s="16"/>
      <c r="I92" s="5"/>
      <c r="K92" s="9"/>
      <c r="M92" s="9" t="str">
        <f aca="false">MID(B92,1,1)</f>
        <v/>
      </c>
    </row>
    <row r="93" customFormat="false" ht="15.75" hidden="false" customHeight="false" outlineLevel="0" collapsed="false">
      <c r="B93" s="14"/>
      <c r="C93" s="15"/>
      <c r="D93" s="16"/>
      <c r="E93" s="16"/>
      <c r="F93" s="16"/>
      <c r="G93" s="16"/>
      <c r="H93" s="16"/>
      <c r="I93" s="5"/>
      <c r="K93" s="9"/>
      <c r="M93" s="9" t="str">
        <f aca="false">MID(B93,1,1)</f>
        <v/>
      </c>
    </row>
    <row r="94" customFormat="false" ht="15.75" hidden="false" customHeight="false" outlineLevel="0" collapsed="false">
      <c r="B94" s="14"/>
      <c r="C94" s="15"/>
      <c r="D94" s="16"/>
      <c r="E94" s="16"/>
      <c r="F94" s="16"/>
      <c r="G94" s="16"/>
      <c r="H94" s="16"/>
      <c r="I94" s="5"/>
      <c r="K94" s="9"/>
      <c r="M94" s="9" t="str">
        <f aca="false">MID(B94,1,1)</f>
        <v/>
      </c>
    </row>
    <row r="95" customFormat="false" ht="15.75" hidden="false" customHeight="false" outlineLevel="0" collapsed="false">
      <c r="B95" s="14"/>
      <c r="C95" s="15"/>
      <c r="D95" s="16"/>
      <c r="E95" s="16"/>
      <c r="F95" s="16"/>
      <c r="G95" s="16"/>
      <c r="H95" s="16"/>
      <c r="I95" s="5"/>
      <c r="K95" s="9"/>
      <c r="M95" s="9" t="str">
        <f aca="false">MID(B95,1,1)</f>
        <v/>
      </c>
    </row>
    <row r="96" customFormat="false" ht="15.75" hidden="false" customHeight="false" outlineLevel="0" collapsed="false">
      <c r="B96" s="14"/>
      <c r="C96" s="15"/>
      <c r="D96" s="16"/>
      <c r="E96" s="16"/>
      <c r="F96" s="16"/>
      <c r="G96" s="16"/>
      <c r="H96" s="16"/>
      <c r="I96" s="5"/>
      <c r="K96" s="9"/>
      <c r="M96" s="9" t="str">
        <f aca="false">MID(B96,1,1)</f>
        <v/>
      </c>
    </row>
    <row r="97" customFormat="false" ht="15.75" hidden="false" customHeight="false" outlineLevel="0" collapsed="false">
      <c r="B97" s="14"/>
      <c r="C97" s="15"/>
      <c r="D97" s="16"/>
      <c r="E97" s="16"/>
      <c r="F97" s="16"/>
      <c r="G97" s="16"/>
      <c r="H97" s="16"/>
      <c r="I97" s="5"/>
      <c r="K97" s="9"/>
      <c r="M97" s="9" t="str">
        <f aca="false">MID(B97,1,1)</f>
        <v/>
      </c>
    </row>
    <row r="98" customFormat="false" ht="15.75" hidden="false" customHeight="false" outlineLevel="0" collapsed="false">
      <c r="B98" s="14"/>
      <c r="C98" s="15"/>
      <c r="D98" s="16"/>
      <c r="E98" s="16"/>
      <c r="F98" s="16"/>
      <c r="G98" s="16"/>
      <c r="H98" s="16"/>
      <c r="I98" s="5"/>
      <c r="K98" s="9"/>
      <c r="M98" s="9" t="str">
        <f aca="false">MID(B98,1,1)</f>
        <v/>
      </c>
    </row>
    <row r="99" customFormat="false" ht="15.75" hidden="false" customHeight="false" outlineLevel="0" collapsed="false">
      <c r="B99" s="14"/>
      <c r="C99" s="15"/>
      <c r="D99" s="16"/>
      <c r="E99" s="16"/>
      <c r="F99" s="16"/>
      <c r="G99" s="16"/>
      <c r="H99" s="16"/>
      <c r="I99" s="5"/>
      <c r="K99" s="9"/>
      <c r="M99" s="9" t="str">
        <f aca="false">MID(B99,1,1)</f>
        <v/>
      </c>
    </row>
    <row r="100" customFormat="false" ht="15.75" hidden="false" customHeight="false" outlineLevel="0" collapsed="false">
      <c r="B100" s="14"/>
      <c r="C100" s="15"/>
      <c r="D100" s="16"/>
      <c r="E100" s="16"/>
      <c r="F100" s="16"/>
      <c r="G100" s="16"/>
      <c r="H100" s="16"/>
      <c r="I100" s="5"/>
      <c r="K100" s="9"/>
      <c r="M100" s="9" t="str">
        <f aca="false">MID(B100,1,1)</f>
        <v/>
      </c>
    </row>
    <row r="101" customFormat="false" ht="15.75" hidden="false" customHeight="false" outlineLevel="0" collapsed="false">
      <c r="B101" s="14"/>
      <c r="C101" s="15"/>
      <c r="D101" s="16"/>
      <c r="E101" s="16"/>
      <c r="F101" s="16"/>
      <c r="G101" s="16"/>
      <c r="H101" s="16"/>
      <c r="I101" s="5"/>
      <c r="K101" s="9"/>
      <c r="M101" s="9" t="str">
        <f aca="false">MID(B101,1,1)</f>
        <v/>
      </c>
    </row>
    <row r="102" customFormat="false" ht="15.75" hidden="false" customHeight="false" outlineLevel="0" collapsed="false">
      <c r="B102" s="14"/>
      <c r="C102" s="15"/>
      <c r="D102" s="16"/>
      <c r="E102" s="16"/>
      <c r="F102" s="16"/>
      <c r="G102" s="16"/>
      <c r="H102" s="16"/>
      <c r="I102" s="5"/>
      <c r="K102" s="9"/>
      <c r="M102" s="9" t="str">
        <f aca="false">MID(B102,1,1)</f>
        <v/>
      </c>
    </row>
    <row r="103" customFormat="false" ht="15.75" hidden="false" customHeight="false" outlineLevel="0" collapsed="false">
      <c r="B103" s="14"/>
      <c r="C103" s="15"/>
      <c r="D103" s="16"/>
      <c r="E103" s="16"/>
      <c r="F103" s="16"/>
      <c r="G103" s="16"/>
      <c r="H103" s="16"/>
      <c r="I103" s="5"/>
      <c r="K103" s="9"/>
      <c r="M103" s="9" t="str">
        <f aca="false">MID(B103,1,1)</f>
        <v/>
      </c>
    </row>
    <row r="104" customFormat="false" ht="15.75" hidden="false" customHeight="false" outlineLevel="0" collapsed="false">
      <c r="B104" s="14"/>
      <c r="C104" s="15"/>
      <c r="D104" s="16"/>
      <c r="E104" s="16"/>
      <c r="F104" s="16"/>
      <c r="G104" s="16"/>
      <c r="H104" s="16"/>
      <c r="I104" s="5"/>
      <c r="K104" s="9"/>
      <c r="M104" s="9" t="str">
        <f aca="false">MID(B104,1,1)</f>
        <v/>
      </c>
    </row>
    <row r="105" customFormat="false" ht="15.75" hidden="false" customHeight="false" outlineLevel="0" collapsed="false">
      <c r="B105" s="14"/>
      <c r="C105" s="15"/>
      <c r="D105" s="16"/>
      <c r="E105" s="16"/>
      <c r="F105" s="16"/>
      <c r="G105" s="16"/>
      <c r="H105" s="16"/>
      <c r="I105" s="5"/>
      <c r="K105" s="9"/>
      <c r="M105" s="9" t="str">
        <f aca="false">MID(B105,1,1)</f>
        <v/>
      </c>
    </row>
    <row r="106" customFormat="false" ht="15.75" hidden="false" customHeight="false" outlineLevel="0" collapsed="false">
      <c r="B106" s="14"/>
      <c r="C106" s="15"/>
      <c r="D106" s="16"/>
      <c r="E106" s="16"/>
      <c r="F106" s="16"/>
      <c r="G106" s="16"/>
      <c r="H106" s="16"/>
      <c r="I106" s="5"/>
      <c r="K106" s="9"/>
      <c r="M106" s="9" t="str">
        <f aca="false">MID(B106,1,1)</f>
        <v/>
      </c>
    </row>
    <row r="107" customFormat="false" ht="15.75" hidden="false" customHeight="false" outlineLevel="0" collapsed="false">
      <c r="B107" s="14"/>
      <c r="C107" s="15"/>
      <c r="D107" s="16"/>
      <c r="E107" s="16"/>
      <c r="F107" s="16"/>
      <c r="G107" s="16"/>
      <c r="H107" s="16"/>
      <c r="I107" s="5"/>
      <c r="K107" s="9"/>
      <c r="M107" s="9" t="str">
        <f aca="false">MID(B107,1,1)</f>
        <v/>
      </c>
    </row>
    <row r="108" customFormat="false" ht="15.75" hidden="false" customHeight="false" outlineLevel="0" collapsed="false">
      <c r="B108" s="14"/>
      <c r="C108" s="15"/>
      <c r="D108" s="16"/>
      <c r="E108" s="16"/>
      <c r="F108" s="16"/>
      <c r="G108" s="16"/>
      <c r="H108" s="16"/>
      <c r="I108" s="5"/>
      <c r="K108" s="9"/>
      <c r="M108" s="9" t="str">
        <f aca="false">MID(B108,1,1)</f>
        <v/>
      </c>
    </row>
    <row r="109" customFormat="false" ht="15.75" hidden="false" customHeight="false" outlineLevel="0" collapsed="false">
      <c r="B109" s="14"/>
      <c r="C109" s="15"/>
      <c r="D109" s="16"/>
      <c r="E109" s="16"/>
      <c r="F109" s="16"/>
      <c r="G109" s="16"/>
      <c r="H109" s="16"/>
      <c r="I109" s="5"/>
      <c r="K109" s="9"/>
      <c r="M109" s="9" t="str">
        <f aca="false">MID(B109,1,1)</f>
        <v/>
      </c>
    </row>
    <row r="110" customFormat="false" ht="15.75" hidden="false" customHeight="false" outlineLevel="0" collapsed="false">
      <c r="B110" s="14"/>
      <c r="C110" s="15"/>
      <c r="D110" s="16"/>
      <c r="E110" s="16"/>
      <c r="F110" s="16"/>
      <c r="G110" s="16"/>
      <c r="H110" s="16"/>
      <c r="I110" s="5"/>
      <c r="K110" s="9"/>
      <c r="M110" s="9" t="str">
        <f aca="false">MID(B110,1,1)</f>
        <v/>
      </c>
    </row>
    <row r="111" customFormat="false" ht="15.75" hidden="false" customHeight="false" outlineLevel="0" collapsed="false">
      <c r="B111" s="14"/>
      <c r="C111" s="15"/>
      <c r="D111" s="16"/>
      <c r="E111" s="16"/>
      <c r="F111" s="16"/>
      <c r="G111" s="16"/>
      <c r="H111" s="16"/>
      <c r="I111" s="5"/>
      <c r="K111" s="9"/>
      <c r="M111" s="9" t="str">
        <f aca="false">MID(B111,1,1)</f>
        <v/>
      </c>
    </row>
    <row r="112" customFormat="false" ht="15.75" hidden="false" customHeight="false" outlineLevel="0" collapsed="false">
      <c r="B112" s="14"/>
      <c r="C112" s="15"/>
      <c r="D112" s="16"/>
      <c r="E112" s="16"/>
      <c r="F112" s="16"/>
      <c r="G112" s="16"/>
      <c r="H112" s="16"/>
      <c r="I112" s="5"/>
      <c r="K112" s="9"/>
      <c r="M112" s="9" t="str">
        <f aca="false">MID(B112,1,1)</f>
        <v/>
      </c>
    </row>
    <row r="113" customFormat="false" ht="15.75" hidden="false" customHeight="false" outlineLevel="0" collapsed="false">
      <c r="B113" s="14"/>
      <c r="C113" s="15"/>
      <c r="D113" s="16"/>
      <c r="E113" s="16"/>
      <c r="F113" s="16"/>
      <c r="G113" s="16"/>
      <c r="H113" s="16"/>
      <c r="I113" s="5"/>
      <c r="K113" s="9"/>
      <c r="M113" s="9" t="str">
        <f aca="false">MID(B113,1,1)</f>
        <v/>
      </c>
    </row>
    <row r="114" customFormat="false" ht="15.75" hidden="false" customHeight="false" outlineLevel="0" collapsed="false">
      <c r="B114" s="14"/>
      <c r="C114" s="15"/>
      <c r="D114" s="16"/>
      <c r="E114" s="16"/>
      <c r="F114" s="16"/>
      <c r="G114" s="16"/>
      <c r="H114" s="16"/>
      <c r="I114" s="5"/>
      <c r="K114" s="9"/>
      <c r="M114" s="9" t="str">
        <f aca="false">MID(B114,1,1)</f>
        <v/>
      </c>
    </row>
    <row r="115" customFormat="false" ht="15.75" hidden="false" customHeight="false" outlineLevel="0" collapsed="false">
      <c r="B115" s="14"/>
      <c r="C115" s="15"/>
      <c r="D115" s="16"/>
      <c r="E115" s="16"/>
      <c r="F115" s="16"/>
      <c r="G115" s="16"/>
      <c r="H115" s="16"/>
      <c r="I115" s="5"/>
      <c r="K115" s="9"/>
      <c r="M115" s="9" t="str">
        <f aca="false">MID(B115,1,1)</f>
        <v/>
      </c>
    </row>
    <row r="116" customFormat="false" ht="15.75" hidden="false" customHeight="false" outlineLevel="0" collapsed="false">
      <c r="B116" s="14"/>
      <c r="C116" s="15"/>
      <c r="D116" s="16"/>
      <c r="E116" s="16"/>
      <c r="F116" s="16"/>
      <c r="G116" s="16"/>
      <c r="H116" s="16"/>
      <c r="I116" s="5"/>
      <c r="K116" s="9"/>
      <c r="M116" s="9" t="str">
        <f aca="false">MID(B116,1,1)</f>
        <v/>
      </c>
    </row>
    <row r="117" customFormat="false" ht="15.75" hidden="false" customHeight="false" outlineLevel="0" collapsed="false">
      <c r="B117" s="14"/>
      <c r="C117" s="15"/>
      <c r="D117" s="16"/>
      <c r="E117" s="16"/>
      <c r="F117" s="16"/>
      <c r="G117" s="16"/>
      <c r="H117" s="16"/>
      <c r="I117" s="5"/>
      <c r="K117" s="9"/>
      <c r="M117" s="9" t="str">
        <f aca="false">MID(B117,1,1)</f>
        <v/>
      </c>
    </row>
    <row r="118" customFormat="false" ht="15.75" hidden="false" customHeight="false" outlineLevel="0" collapsed="false">
      <c r="B118" s="14"/>
      <c r="C118" s="15"/>
      <c r="D118" s="16"/>
      <c r="E118" s="16"/>
      <c r="F118" s="16"/>
      <c r="G118" s="16"/>
      <c r="H118" s="16"/>
      <c r="I118" s="5"/>
      <c r="K118" s="9"/>
      <c r="M118" s="9" t="str">
        <f aca="false">MID(B118,1,1)</f>
        <v/>
      </c>
    </row>
    <row r="119" customFormat="false" ht="15.75" hidden="false" customHeight="false" outlineLevel="0" collapsed="false">
      <c r="B119" s="14"/>
      <c r="C119" s="15"/>
      <c r="D119" s="16"/>
      <c r="E119" s="16"/>
      <c r="F119" s="16"/>
      <c r="G119" s="16"/>
      <c r="H119" s="16"/>
      <c r="I119" s="5"/>
      <c r="K119" s="9"/>
      <c r="M119" s="9" t="str">
        <f aca="false">MID(B119,1,1)</f>
        <v/>
      </c>
    </row>
    <row r="120" customFormat="false" ht="15.75" hidden="false" customHeight="false" outlineLevel="0" collapsed="false">
      <c r="B120" s="14"/>
      <c r="C120" s="15"/>
      <c r="D120" s="16"/>
      <c r="E120" s="16"/>
      <c r="F120" s="16"/>
      <c r="G120" s="16"/>
      <c r="H120" s="16"/>
      <c r="I120" s="5"/>
      <c r="K120" s="9"/>
      <c r="M120" s="9" t="str">
        <f aca="false">MID(B120,1,1)</f>
        <v/>
      </c>
    </row>
    <row r="121" customFormat="false" ht="15.75" hidden="false" customHeight="false" outlineLevel="0" collapsed="false">
      <c r="B121" s="14"/>
      <c r="C121" s="15"/>
      <c r="D121" s="16"/>
      <c r="E121" s="16"/>
      <c r="F121" s="16"/>
      <c r="G121" s="16"/>
      <c r="H121" s="16"/>
      <c r="I121" s="5"/>
      <c r="K121" s="9"/>
      <c r="M121" s="9" t="str">
        <f aca="false">MID(B121,1,1)</f>
        <v/>
      </c>
    </row>
    <row r="122" customFormat="false" ht="15.75" hidden="false" customHeight="false" outlineLevel="0" collapsed="false">
      <c r="B122" s="14"/>
      <c r="C122" s="15"/>
      <c r="D122" s="16"/>
      <c r="E122" s="16"/>
      <c r="F122" s="16"/>
      <c r="G122" s="16"/>
      <c r="H122" s="16"/>
      <c r="I122" s="5"/>
      <c r="K122" s="9"/>
      <c r="M122" s="9" t="str">
        <f aca="false">MID(B122,1,1)</f>
        <v/>
      </c>
    </row>
    <row r="123" customFormat="false" ht="15.75" hidden="false" customHeight="false" outlineLevel="0" collapsed="false">
      <c r="B123" s="14"/>
      <c r="C123" s="15"/>
      <c r="D123" s="16"/>
      <c r="E123" s="16"/>
      <c r="F123" s="16"/>
      <c r="G123" s="16"/>
      <c r="H123" s="16"/>
      <c r="I123" s="5"/>
      <c r="K123" s="9"/>
      <c r="M123" s="9" t="str">
        <f aca="false">MID(B123,1,1)</f>
        <v/>
      </c>
    </row>
    <row r="124" customFormat="false" ht="15.75" hidden="false" customHeight="false" outlineLevel="0" collapsed="false">
      <c r="B124" s="14"/>
      <c r="C124" s="15"/>
      <c r="D124" s="16"/>
      <c r="E124" s="16"/>
      <c r="F124" s="16"/>
      <c r="G124" s="16"/>
      <c r="H124" s="16"/>
      <c r="I124" s="5"/>
      <c r="K124" s="9"/>
      <c r="M124" s="9" t="str">
        <f aca="false">MID(B124,1,1)</f>
        <v/>
      </c>
    </row>
    <row r="125" customFormat="false" ht="15.75" hidden="false" customHeight="false" outlineLevel="0" collapsed="false">
      <c r="B125" s="14"/>
      <c r="C125" s="15"/>
      <c r="D125" s="16"/>
      <c r="E125" s="16"/>
      <c r="F125" s="16"/>
      <c r="G125" s="16"/>
      <c r="H125" s="16"/>
      <c r="I125" s="5"/>
      <c r="K125" s="9"/>
      <c r="M125" s="9" t="str">
        <f aca="false">MID(B125,1,1)</f>
        <v/>
      </c>
    </row>
    <row r="126" customFormat="false" ht="15.75" hidden="false" customHeight="false" outlineLevel="0" collapsed="false">
      <c r="B126" s="14"/>
      <c r="C126" s="15"/>
      <c r="D126" s="16"/>
      <c r="E126" s="16"/>
      <c r="F126" s="16"/>
      <c r="G126" s="16"/>
      <c r="H126" s="16"/>
      <c r="I126" s="5"/>
      <c r="K126" s="9"/>
      <c r="M126" s="9" t="str">
        <f aca="false">MID(B126,1,1)</f>
        <v/>
      </c>
    </row>
    <row r="127" customFormat="false" ht="15.75" hidden="false" customHeight="false" outlineLevel="0" collapsed="false">
      <c r="B127" s="14"/>
      <c r="C127" s="15"/>
      <c r="D127" s="16"/>
      <c r="E127" s="16"/>
      <c r="F127" s="16"/>
      <c r="G127" s="16"/>
      <c r="H127" s="16"/>
      <c r="I127" s="5"/>
      <c r="K127" s="9"/>
      <c r="M127" s="9" t="str">
        <f aca="false">MID(B127,1,1)</f>
        <v/>
      </c>
    </row>
    <row r="128" customFormat="false" ht="15.75" hidden="false" customHeight="false" outlineLevel="0" collapsed="false">
      <c r="B128" s="14"/>
      <c r="C128" s="15"/>
      <c r="D128" s="16"/>
      <c r="E128" s="16"/>
      <c r="F128" s="16"/>
      <c r="G128" s="16"/>
      <c r="H128" s="16"/>
      <c r="I128" s="5"/>
      <c r="K128" s="9"/>
      <c r="M128" s="9" t="str">
        <f aca="false">MID(B128,1,1)</f>
        <v/>
      </c>
    </row>
    <row r="129" customFormat="false" ht="15.75" hidden="false" customHeight="false" outlineLevel="0" collapsed="false">
      <c r="B129" s="14"/>
      <c r="C129" s="15"/>
      <c r="D129" s="16"/>
      <c r="E129" s="16"/>
      <c r="F129" s="16"/>
      <c r="G129" s="16"/>
      <c r="H129" s="16"/>
      <c r="I129" s="5"/>
      <c r="K129" s="9"/>
      <c r="M129" s="9" t="str">
        <f aca="false">MID(B129,1,1)</f>
        <v/>
      </c>
    </row>
    <row r="130" customFormat="false" ht="15.75" hidden="false" customHeight="false" outlineLevel="0" collapsed="false">
      <c r="B130" s="14"/>
      <c r="C130" s="15"/>
      <c r="D130" s="16"/>
      <c r="E130" s="16"/>
      <c r="F130" s="16"/>
      <c r="G130" s="16"/>
      <c r="H130" s="16"/>
      <c r="I130" s="5"/>
      <c r="K130" s="9"/>
      <c r="M130" s="9" t="str">
        <f aca="false">MID(B130,1,1)</f>
        <v/>
      </c>
    </row>
    <row r="131" customFormat="false" ht="15.75" hidden="false" customHeight="false" outlineLevel="0" collapsed="false">
      <c r="B131" s="14"/>
      <c r="C131" s="15"/>
      <c r="D131" s="16"/>
      <c r="E131" s="16"/>
      <c r="F131" s="16"/>
      <c r="G131" s="16"/>
      <c r="H131" s="16"/>
      <c r="I131" s="5"/>
      <c r="K131" s="9"/>
      <c r="M131" s="9" t="str">
        <f aca="false">MID(B131,1,1)</f>
        <v/>
      </c>
    </row>
    <row r="132" customFormat="false" ht="15.75" hidden="false" customHeight="false" outlineLevel="0" collapsed="false">
      <c r="B132" s="14"/>
      <c r="C132" s="15"/>
      <c r="D132" s="16"/>
      <c r="E132" s="16"/>
      <c r="F132" s="16"/>
      <c r="G132" s="16"/>
      <c r="H132" s="16"/>
      <c r="I132" s="5"/>
      <c r="K132" s="9"/>
      <c r="M132" s="9" t="str">
        <f aca="false">MID(B132,1,1)</f>
        <v/>
      </c>
    </row>
    <row r="133" customFormat="false" ht="15.75" hidden="false" customHeight="false" outlineLevel="0" collapsed="false">
      <c r="B133" s="14"/>
      <c r="C133" s="15"/>
      <c r="D133" s="16"/>
      <c r="E133" s="16"/>
      <c r="F133" s="16"/>
      <c r="G133" s="16"/>
      <c r="H133" s="16"/>
      <c r="I133" s="5"/>
      <c r="K133" s="9"/>
      <c r="M133" s="9" t="str">
        <f aca="false">MID(B133,1,1)</f>
        <v/>
      </c>
    </row>
    <row r="134" customFormat="false" ht="15.75" hidden="false" customHeight="false" outlineLevel="0" collapsed="false">
      <c r="B134" s="14"/>
      <c r="C134" s="15"/>
      <c r="D134" s="16"/>
      <c r="E134" s="16"/>
      <c r="F134" s="16"/>
      <c r="G134" s="16"/>
      <c r="H134" s="16"/>
      <c r="I134" s="5"/>
      <c r="K134" s="9"/>
      <c r="M134" s="9" t="str">
        <f aca="false">MID(B134,1,1)</f>
        <v/>
      </c>
    </row>
    <row r="135" customFormat="false" ht="15.75" hidden="false" customHeight="false" outlineLevel="0" collapsed="false">
      <c r="B135" s="14"/>
      <c r="C135" s="15"/>
      <c r="D135" s="16"/>
      <c r="E135" s="16"/>
      <c r="F135" s="16"/>
      <c r="G135" s="16"/>
      <c r="H135" s="16"/>
      <c r="I135" s="5"/>
      <c r="K135" s="9"/>
      <c r="M135" s="9" t="str">
        <f aca="false">MID(B135,1,1)</f>
        <v/>
      </c>
    </row>
    <row r="136" customFormat="false" ht="15.75" hidden="false" customHeight="false" outlineLevel="0" collapsed="false">
      <c r="B136" s="14"/>
      <c r="C136" s="15"/>
      <c r="D136" s="16"/>
      <c r="E136" s="16"/>
      <c r="F136" s="16"/>
      <c r="G136" s="16"/>
      <c r="H136" s="16"/>
      <c r="I136" s="5"/>
      <c r="K136" s="9"/>
      <c r="M136" s="9" t="str">
        <f aca="false">MID(B136,1,1)</f>
        <v/>
      </c>
    </row>
    <row r="137" customFormat="false" ht="15.75" hidden="false" customHeight="false" outlineLevel="0" collapsed="false">
      <c r="B137" s="14"/>
      <c r="C137" s="15"/>
      <c r="D137" s="16"/>
      <c r="E137" s="16"/>
      <c r="F137" s="16"/>
      <c r="G137" s="16"/>
      <c r="H137" s="16"/>
      <c r="I137" s="5"/>
      <c r="K137" s="9"/>
      <c r="M137" s="9" t="str">
        <f aca="false">MID(B137,1,1)</f>
        <v/>
      </c>
    </row>
    <row r="138" customFormat="false" ht="15.75" hidden="false" customHeight="false" outlineLevel="0" collapsed="false">
      <c r="B138" s="14"/>
      <c r="C138" s="15"/>
      <c r="D138" s="16"/>
      <c r="E138" s="16"/>
      <c r="F138" s="16"/>
      <c r="G138" s="16"/>
      <c r="H138" s="16"/>
      <c r="I138" s="5"/>
      <c r="K138" s="9"/>
      <c r="M138" s="9" t="str">
        <f aca="false">MID(B138,1,1)</f>
        <v/>
      </c>
    </row>
    <row r="139" customFormat="false" ht="15.75" hidden="false" customHeight="false" outlineLevel="0" collapsed="false">
      <c r="B139" s="14"/>
      <c r="C139" s="15"/>
      <c r="D139" s="16"/>
      <c r="E139" s="16"/>
      <c r="F139" s="16"/>
      <c r="G139" s="16"/>
      <c r="H139" s="16"/>
      <c r="I139" s="5"/>
      <c r="K139" s="9"/>
      <c r="M139" s="9" t="str">
        <f aca="false">MID(B139,1,1)</f>
        <v/>
      </c>
    </row>
    <row r="140" customFormat="false" ht="15.75" hidden="false" customHeight="false" outlineLevel="0" collapsed="false">
      <c r="B140" s="14"/>
      <c r="C140" s="15"/>
      <c r="D140" s="16"/>
      <c r="E140" s="16"/>
      <c r="F140" s="16"/>
      <c r="G140" s="16"/>
      <c r="H140" s="16"/>
      <c r="I140" s="5"/>
      <c r="K140" s="9"/>
      <c r="M140" s="9" t="str">
        <f aca="false">MID(B140,1,1)</f>
        <v/>
      </c>
    </row>
    <row r="141" customFormat="false" ht="15.75" hidden="false" customHeight="false" outlineLevel="0" collapsed="false">
      <c r="B141" s="14"/>
      <c r="C141" s="15"/>
      <c r="D141" s="16"/>
      <c r="E141" s="16"/>
      <c r="F141" s="16"/>
      <c r="G141" s="16"/>
      <c r="H141" s="16"/>
      <c r="I141" s="5"/>
      <c r="K141" s="9"/>
      <c r="M141" s="9" t="str">
        <f aca="false">MID(B141,1,1)</f>
        <v/>
      </c>
    </row>
    <row r="142" customFormat="false" ht="15.75" hidden="false" customHeight="false" outlineLevel="0" collapsed="false">
      <c r="B142" s="14"/>
      <c r="C142" s="15"/>
      <c r="D142" s="16"/>
      <c r="E142" s="16"/>
      <c r="F142" s="16"/>
      <c r="G142" s="16"/>
      <c r="H142" s="16"/>
      <c r="I142" s="5"/>
      <c r="K142" s="9"/>
      <c r="M142" s="9" t="str">
        <f aca="false">MID(B142,1,1)</f>
        <v/>
      </c>
    </row>
    <row r="143" customFormat="false" ht="15.75" hidden="false" customHeight="false" outlineLevel="0" collapsed="false">
      <c r="B143" s="14"/>
      <c r="C143" s="15"/>
      <c r="D143" s="16"/>
      <c r="E143" s="16"/>
      <c r="F143" s="16"/>
      <c r="G143" s="16"/>
      <c r="H143" s="16"/>
      <c r="I143" s="5"/>
      <c r="K143" s="9"/>
      <c r="M143" s="9" t="str">
        <f aca="false">MID(B143,1,1)</f>
        <v/>
      </c>
    </row>
    <row r="144" customFormat="false" ht="15.75" hidden="false" customHeight="false" outlineLevel="0" collapsed="false">
      <c r="B144" s="14"/>
      <c r="C144" s="15"/>
      <c r="D144" s="16"/>
      <c r="E144" s="16"/>
      <c r="F144" s="16"/>
      <c r="G144" s="16"/>
      <c r="H144" s="16"/>
      <c r="I144" s="5"/>
      <c r="K144" s="9"/>
      <c r="M144" s="9" t="str">
        <f aca="false">MID(B144,1,1)</f>
        <v/>
      </c>
    </row>
    <row r="145" customFormat="false" ht="15.75" hidden="false" customHeight="false" outlineLevel="0" collapsed="false">
      <c r="B145" s="14"/>
      <c r="C145" s="15"/>
      <c r="D145" s="16"/>
      <c r="E145" s="16"/>
      <c r="F145" s="16"/>
      <c r="G145" s="16"/>
      <c r="H145" s="16"/>
      <c r="I145" s="5"/>
      <c r="K145" s="9"/>
      <c r="M145" s="9" t="str">
        <f aca="false">MID(B145,1,1)</f>
        <v/>
      </c>
    </row>
    <row r="146" customFormat="false" ht="15.75" hidden="false" customHeight="false" outlineLevel="0" collapsed="false">
      <c r="B146" s="14"/>
      <c r="C146" s="15"/>
      <c r="D146" s="16"/>
      <c r="E146" s="16"/>
      <c r="F146" s="16"/>
      <c r="G146" s="16"/>
      <c r="H146" s="16"/>
      <c r="I146" s="5"/>
      <c r="K146" s="9"/>
      <c r="M146" s="9" t="str">
        <f aca="false">MID(B146,1,1)</f>
        <v/>
      </c>
    </row>
    <row r="147" customFormat="false" ht="15.75" hidden="false" customHeight="false" outlineLevel="0" collapsed="false">
      <c r="B147" s="14"/>
      <c r="C147" s="15"/>
      <c r="D147" s="16"/>
      <c r="E147" s="16"/>
      <c r="F147" s="16"/>
      <c r="G147" s="16"/>
      <c r="H147" s="16"/>
      <c r="I147" s="5"/>
      <c r="K147" s="9"/>
      <c r="M147" s="9" t="str">
        <f aca="false">MID(B147,1,1)</f>
        <v/>
      </c>
    </row>
    <row r="148" customFormat="false" ht="15.75" hidden="false" customHeight="false" outlineLevel="0" collapsed="false">
      <c r="B148" s="14"/>
      <c r="C148" s="15"/>
      <c r="D148" s="16"/>
      <c r="E148" s="16"/>
      <c r="F148" s="16"/>
      <c r="G148" s="16"/>
      <c r="H148" s="16"/>
      <c r="I148" s="5"/>
      <c r="K148" s="9"/>
      <c r="M148" s="9" t="str">
        <f aca="false">MID(B148,1,1)</f>
        <v/>
      </c>
    </row>
    <row r="149" customFormat="false" ht="15.75" hidden="false" customHeight="false" outlineLevel="0" collapsed="false">
      <c r="B149" s="14"/>
      <c r="C149" s="15"/>
      <c r="D149" s="16"/>
      <c r="E149" s="16"/>
      <c r="F149" s="16"/>
      <c r="G149" s="16"/>
      <c r="H149" s="16"/>
      <c r="I149" s="5"/>
      <c r="K149" s="9"/>
      <c r="M149" s="9" t="str">
        <f aca="false">MID(B149,1,1)</f>
        <v/>
      </c>
    </row>
    <row r="150" customFormat="false" ht="15.75" hidden="false" customHeight="false" outlineLevel="0" collapsed="false">
      <c r="B150" s="14"/>
      <c r="C150" s="15"/>
      <c r="D150" s="16"/>
      <c r="E150" s="16"/>
      <c r="F150" s="16"/>
      <c r="G150" s="16"/>
      <c r="H150" s="16"/>
      <c r="I150" s="5"/>
      <c r="K150" s="9"/>
      <c r="M150" s="9" t="str">
        <f aca="false">MID(B150,1,1)</f>
        <v/>
      </c>
    </row>
    <row r="151" customFormat="false" ht="15.75" hidden="false" customHeight="false" outlineLevel="0" collapsed="false">
      <c r="B151" s="14"/>
      <c r="C151" s="15"/>
      <c r="D151" s="16"/>
      <c r="E151" s="16"/>
      <c r="F151" s="16"/>
      <c r="G151" s="16"/>
      <c r="H151" s="16"/>
      <c r="I151" s="5"/>
      <c r="K151" s="9"/>
      <c r="M151" s="9" t="str">
        <f aca="false">MID(B151,1,1)</f>
        <v/>
      </c>
    </row>
    <row r="152" customFormat="false" ht="15.75" hidden="false" customHeight="false" outlineLevel="0" collapsed="false">
      <c r="B152" s="14"/>
      <c r="C152" s="15"/>
      <c r="D152" s="16"/>
      <c r="E152" s="16"/>
      <c r="F152" s="16"/>
      <c r="G152" s="16"/>
      <c r="H152" s="16"/>
      <c r="I152" s="5"/>
      <c r="K152" s="9"/>
      <c r="M152" s="9" t="str">
        <f aca="false">MID(B152,1,1)</f>
        <v/>
      </c>
    </row>
    <row r="153" customFormat="false" ht="15.75" hidden="false" customHeight="false" outlineLevel="0" collapsed="false">
      <c r="B153" s="14"/>
      <c r="C153" s="15"/>
      <c r="D153" s="16"/>
      <c r="E153" s="16"/>
      <c r="F153" s="16"/>
      <c r="G153" s="16"/>
      <c r="H153" s="16"/>
      <c r="I153" s="5"/>
      <c r="K153" s="9"/>
      <c r="M153" s="9" t="str">
        <f aca="false">MID(B153,1,1)</f>
        <v/>
      </c>
    </row>
    <row r="154" customFormat="false" ht="15.75" hidden="false" customHeight="false" outlineLevel="0" collapsed="false">
      <c r="B154" s="14"/>
      <c r="C154" s="15"/>
      <c r="D154" s="16"/>
      <c r="E154" s="16"/>
      <c r="F154" s="16"/>
      <c r="G154" s="16"/>
      <c r="H154" s="16"/>
      <c r="I154" s="5"/>
      <c r="K154" s="9"/>
      <c r="M154" s="9" t="str">
        <f aca="false">MID(B154,1,1)</f>
        <v/>
      </c>
    </row>
    <row r="155" customFormat="false" ht="15.75" hidden="false" customHeight="false" outlineLevel="0" collapsed="false">
      <c r="B155" s="14"/>
      <c r="C155" s="15"/>
      <c r="D155" s="16"/>
      <c r="E155" s="16"/>
      <c r="F155" s="16"/>
      <c r="G155" s="16"/>
      <c r="H155" s="16"/>
      <c r="I155" s="5"/>
      <c r="K155" s="9"/>
      <c r="M155" s="9" t="str">
        <f aca="false">MID(B155,1,1)</f>
        <v/>
      </c>
    </row>
    <row r="156" customFormat="false" ht="15.75" hidden="false" customHeight="false" outlineLevel="0" collapsed="false">
      <c r="B156" s="14"/>
      <c r="C156" s="15"/>
      <c r="D156" s="16"/>
      <c r="E156" s="16"/>
      <c r="F156" s="16"/>
      <c r="G156" s="16"/>
      <c r="H156" s="16"/>
      <c r="I156" s="5"/>
      <c r="K156" s="9"/>
      <c r="M156" s="9" t="str">
        <f aca="false">MID(B156,1,1)</f>
        <v/>
      </c>
    </row>
    <row r="157" customFormat="false" ht="15.75" hidden="false" customHeight="false" outlineLevel="0" collapsed="false">
      <c r="B157" s="14"/>
      <c r="C157" s="15"/>
      <c r="D157" s="16"/>
      <c r="E157" s="16"/>
      <c r="F157" s="16"/>
      <c r="G157" s="16"/>
      <c r="H157" s="16"/>
      <c r="I157" s="5"/>
      <c r="K157" s="9"/>
      <c r="M157" s="9" t="str">
        <f aca="false">MID(B157,1,1)</f>
        <v/>
      </c>
    </row>
    <row r="158" customFormat="false" ht="15.75" hidden="false" customHeight="false" outlineLevel="0" collapsed="false">
      <c r="B158" s="14"/>
      <c r="C158" s="15"/>
      <c r="D158" s="16"/>
      <c r="E158" s="16"/>
      <c r="F158" s="16"/>
      <c r="G158" s="16"/>
      <c r="H158" s="16"/>
      <c r="I158" s="5"/>
      <c r="K158" s="9"/>
      <c r="M158" s="9" t="str">
        <f aca="false">MID(B158,1,1)</f>
        <v/>
      </c>
    </row>
    <row r="159" customFormat="false" ht="15.75" hidden="false" customHeight="false" outlineLevel="0" collapsed="false">
      <c r="B159" s="14"/>
      <c r="C159" s="15"/>
      <c r="D159" s="16"/>
      <c r="E159" s="16"/>
      <c r="F159" s="16"/>
      <c r="G159" s="16"/>
      <c r="H159" s="16"/>
      <c r="I159" s="5"/>
      <c r="K159" s="9"/>
      <c r="M159" s="9" t="str">
        <f aca="false">MID(B159,1,1)</f>
        <v/>
      </c>
    </row>
    <row r="160" customFormat="false" ht="15.75" hidden="false" customHeight="false" outlineLevel="0" collapsed="false">
      <c r="B160" s="14"/>
      <c r="C160" s="15"/>
      <c r="D160" s="16"/>
      <c r="E160" s="16"/>
      <c r="F160" s="16"/>
      <c r="G160" s="16"/>
      <c r="H160" s="16"/>
      <c r="I160" s="5"/>
      <c r="K160" s="9"/>
      <c r="M160" s="9" t="str">
        <f aca="false">MID(B160,1,1)</f>
        <v/>
      </c>
    </row>
    <row r="161" customFormat="false" ht="15.75" hidden="false" customHeight="false" outlineLevel="0" collapsed="false">
      <c r="B161" s="14"/>
      <c r="C161" s="15"/>
      <c r="D161" s="16"/>
      <c r="E161" s="16"/>
      <c r="F161" s="16"/>
      <c r="G161" s="16"/>
      <c r="H161" s="16"/>
      <c r="I161" s="5"/>
      <c r="K161" s="9"/>
      <c r="M161" s="9" t="str">
        <f aca="false">MID(B161,1,1)</f>
        <v/>
      </c>
    </row>
    <row r="162" customFormat="false" ht="15.75" hidden="false" customHeight="false" outlineLevel="0" collapsed="false">
      <c r="B162" s="14"/>
      <c r="C162" s="15"/>
      <c r="D162" s="16"/>
      <c r="E162" s="16"/>
      <c r="F162" s="16"/>
      <c r="G162" s="16"/>
      <c r="H162" s="16"/>
      <c r="I162" s="5"/>
      <c r="K162" s="9"/>
      <c r="M162" s="9" t="str">
        <f aca="false">MID(B162,1,1)</f>
        <v/>
      </c>
    </row>
    <row r="163" customFormat="false" ht="15.75" hidden="false" customHeight="false" outlineLevel="0" collapsed="false">
      <c r="B163" s="14"/>
      <c r="C163" s="15"/>
      <c r="D163" s="16"/>
      <c r="E163" s="16"/>
      <c r="F163" s="16"/>
      <c r="G163" s="16"/>
      <c r="H163" s="16"/>
      <c r="I163" s="5"/>
      <c r="K163" s="9"/>
      <c r="M163" s="9" t="str">
        <f aca="false">MID(B163,1,1)</f>
        <v/>
      </c>
    </row>
    <row r="164" customFormat="false" ht="15.75" hidden="false" customHeight="false" outlineLevel="0" collapsed="false">
      <c r="B164" s="14"/>
      <c r="C164" s="15"/>
      <c r="D164" s="16"/>
      <c r="E164" s="16"/>
      <c r="F164" s="16"/>
      <c r="G164" s="16"/>
      <c r="H164" s="16"/>
      <c r="I164" s="5"/>
      <c r="K164" s="9"/>
      <c r="M164" s="9" t="str">
        <f aca="false">MID(B164,1,1)</f>
        <v/>
      </c>
    </row>
    <row r="165" customFormat="false" ht="15.75" hidden="false" customHeight="false" outlineLevel="0" collapsed="false">
      <c r="B165" s="14"/>
      <c r="C165" s="15"/>
      <c r="D165" s="16"/>
      <c r="E165" s="16"/>
      <c r="F165" s="16"/>
      <c r="G165" s="16"/>
      <c r="H165" s="16"/>
      <c r="I165" s="5"/>
      <c r="K165" s="9"/>
      <c r="M165" s="9" t="str">
        <f aca="false">MID(B165,1,1)</f>
        <v/>
      </c>
    </row>
    <row r="166" customFormat="false" ht="15.75" hidden="false" customHeight="false" outlineLevel="0" collapsed="false">
      <c r="B166" s="14"/>
      <c r="C166" s="15"/>
      <c r="D166" s="16"/>
      <c r="E166" s="16"/>
      <c r="F166" s="16"/>
      <c r="G166" s="16"/>
      <c r="H166" s="16"/>
      <c r="I166" s="5"/>
      <c r="K166" s="9"/>
      <c r="M166" s="9" t="str">
        <f aca="false">MID(B166,1,1)</f>
        <v/>
      </c>
    </row>
    <row r="167" customFormat="false" ht="15.75" hidden="false" customHeight="false" outlineLevel="0" collapsed="false">
      <c r="B167" s="14"/>
      <c r="C167" s="15"/>
      <c r="D167" s="16"/>
      <c r="E167" s="16"/>
      <c r="F167" s="16"/>
      <c r="G167" s="16"/>
      <c r="H167" s="16"/>
      <c r="I167" s="5"/>
      <c r="K167" s="9"/>
      <c r="M167" s="9" t="str">
        <f aca="false">MID(B167,1,1)</f>
        <v/>
      </c>
    </row>
    <row r="168" customFormat="false" ht="15.75" hidden="false" customHeight="false" outlineLevel="0" collapsed="false">
      <c r="B168" s="14"/>
      <c r="C168" s="15"/>
      <c r="D168" s="16"/>
      <c r="E168" s="16"/>
      <c r="F168" s="16"/>
      <c r="G168" s="16"/>
      <c r="H168" s="16"/>
      <c r="I168" s="5"/>
      <c r="K168" s="9"/>
      <c r="M168" s="9" t="str">
        <f aca="false">MID(B168,1,1)</f>
        <v/>
      </c>
    </row>
    <row r="169" customFormat="false" ht="15.75" hidden="false" customHeight="false" outlineLevel="0" collapsed="false">
      <c r="C169" s="20"/>
      <c r="D169" s="16"/>
      <c r="E169" s="16"/>
      <c r="F169" s="16"/>
      <c r="G169" s="16"/>
      <c r="H169" s="16"/>
      <c r="I169" s="5"/>
      <c r="K169" s="9"/>
    </row>
    <row r="170" customFormat="false" ht="15.75" hidden="false" customHeight="false" outlineLevel="0" collapsed="false">
      <c r="C170" s="21"/>
      <c r="D170" s="16"/>
      <c r="E170" s="16"/>
      <c r="F170" s="16"/>
      <c r="G170" s="16"/>
      <c r="H170" s="16"/>
      <c r="I170" s="5"/>
      <c r="K170" s="9"/>
    </row>
    <row r="171" customFormat="false" ht="15.75" hidden="false" customHeight="false" outlineLevel="0" collapsed="false">
      <c r="C171" s="21"/>
      <c r="D171" s="16"/>
      <c r="E171" s="16"/>
      <c r="F171" s="16"/>
      <c r="G171" s="16"/>
      <c r="H171" s="16"/>
      <c r="I171" s="5"/>
      <c r="K171" s="9"/>
    </row>
    <row r="172" customFormat="false" ht="15.75" hidden="false" customHeight="false" outlineLevel="0" collapsed="false">
      <c r="C172" s="21"/>
      <c r="D172" s="16"/>
      <c r="E172" s="16"/>
      <c r="F172" s="16"/>
      <c r="G172" s="16"/>
      <c r="H172" s="16"/>
      <c r="I172" s="5"/>
      <c r="K172" s="9"/>
    </row>
    <row r="173" customFormat="false" ht="15.75" hidden="false" customHeight="false" outlineLevel="0" collapsed="false">
      <c r="C173" s="21"/>
      <c r="D173" s="16"/>
      <c r="E173" s="16"/>
      <c r="F173" s="16"/>
      <c r="G173" s="16"/>
      <c r="H173" s="16"/>
      <c r="I173" s="5"/>
      <c r="K173" s="9"/>
    </row>
    <row r="174" customFormat="false" ht="15.75" hidden="false" customHeight="false" outlineLevel="0" collapsed="false">
      <c r="C174" s="21"/>
      <c r="D174" s="16"/>
      <c r="E174" s="16"/>
      <c r="F174" s="16"/>
      <c r="G174" s="16"/>
      <c r="H174" s="16"/>
      <c r="I174" s="5"/>
      <c r="K174" s="9"/>
    </row>
    <row r="175" customFormat="false" ht="15.75" hidden="false" customHeight="false" outlineLevel="0" collapsed="false">
      <c r="A175" s="22"/>
      <c r="C175" s="21"/>
      <c r="D175" s="16"/>
      <c r="E175" s="16"/>
      <c r="F175" s="16"/>
      <c r="G175" s="16"/>
      <c r="H175" s="16"/>
      <c r="I175" s="5"/>
      <c r="K175" s="9"/>
    </row>
    <row r="176" customFormat="false" ht="15.75" hidden="false" customHeight="false" outlineLevel="0" collapsed="false">
      <c r="A176" s="23"/>
      <c r="C176" s="21"/>
      <c r="D176" s="16"/>
      <c r="E176" s="16"/>
      <c r="F176" s="16"/>
      <c r="G176" s="16"/>
      <c r="H176" s="16"/>
      <c r="I176" s="5"/>
      <c r="K176" s="9"/>
    </row>
    <row r="177" customFormat="false" ht="15.75" hidden="false" customHeight="false" outlineLevel="0" collapsed="false">
      <c r="A177" s="23"/>
      <c r="C177" s="21"/>
      <c r="D177" s="16"/>
      <c r="E177" s="16"/>
      <c r="F177" s="16"/>
      <c r="G177" s="16"/>
      <c r="H177" s="16"/>
      <c r="I177" s="5"/>
      <c r="K177" s="9"/>
    </row>
    <row r="178" customFormat="false" ht="15.75" hidden="false" customHeight="false" outlineLevel="0" collapsed="false">
      <c r="A178" s="24"/>
      <c r="C178" s="21"/>
      <c r="D178" s="16"/>
      <c r="E178" s="16"/>
      <c r="F178" s="16"/>
      <c r="G178" s="16"/>
      <c r="H178" s="16"/>
      <c r="I178" s="5"/>
      <c r="K178" s="9"/>
    </row>
    <row r="179" customFormat="false" ht="15.75" hidden="false" customHeight="false" outlineLevel="0" collapsed="false">
      <c r="C179" s="21"/>
      <c r="D179" s="16"/>
      <c r="E179" s="16"/>
      <c r="F179" s="16"/>
      <c r="G179" s="16"/>
      <c r="H179" s="16"/>
      <c r="I179" s="5"/>
      <c r="K179" s="9"/>
    </row>
    <row r="180" customFormat="false" ht="15.75" hidden="false" customHeight="false" outlineLevel="0" collapsed="false">
      <c r="A180" s="24"/>
      <c r="C180" s="21"/>
      <c r="D180" s="16"/>
      <c r="E180" s="16"/>
      <c r="F180" s="16"/>
      <c r="G180" s="16"/>
      <c r="H180" s="16"/>
      <c r="I180" s="5"/>
      <c r="K180" s="9"/>
    </row>
    <row r="181" customFormat="false" ht="15.75" hidden="false" customHeight="false" outlineLevel="0" collapsed="false">
      <c r="A181" s="25"/>
      <c r="C181" s="21"/>
      <c r="D181" s="16"/>
      <c r="E181" s="16"/>
      <c r="F181" s="16"/>
      <c r="G181" s="16"/>
      <c r="H181" s="16"/>
      <c r="I181" s="5"/>
      <c r="K181" s="9"/>
    </row>
    <row r="182" customFormat="false" ht="15.75" hidden="false" customHeight="false" outlineLevel="0" collapsed="false">
      <c r="A182" s="24"/>
      <c r="C182" s="21"/>
      <c r="D182" s="16"/>
      <c r="E182" s="16"/>
      <c r="F182" s="16"/>
      <c r="G182" s="16"/>
      <c r="H182" s="16"/>
      <c r="I182" s="5"/>
      <c r="K182" s="9"/>
    </row>
    <row r="183" customFormat="false" ht="15.75" hidden="false" customHeight="false" outlineLevel="0" collapsed="false">
      <c r="A183" s="26"/>
      <c r="C183" s="21"/>
      <c r="D183" s="16"/>
      <c r="E183" s="16"/>
      <c r="F183" s="16"/>
      <c r="G183" s="16"/>
      <c r="H183" s="16"/>
      <c r="I183" s="5"/>
      <c r="K183" s="9"/>
    </row>
    <row r="184" customFormat="false" ht="15.75" hidden="false" customHeight="false" outlineLevel="0" collapsed="false">
      <c r="A184" s="24"/>
      <c r="C184" s="21"/>
      <c r="D184" s="16"/>
      <c r="E184" s="16"/>
      <c r="F184" s="16"/>
      <c r="G184" s="16"/>
      <c r="H184" s="16"/>
      <c r="I184" s="5"/>
      <c r="K184" s="9"/>
    </row>
    <row r="185" customFormat="false" ht="15.75" hidden="false" customHeight="false" outlineLevel="0" collapsed="false">
      <c r="A185" s="24"/>
      <c r="C185" s="21"/>
      <c r="D185" s="16"/>
      <c r="E185" s="16"/>
      <c r="F185" s="16"/>
      <c r="G185" s="16"/>
      <c r="H185" s="16"/>
      <c r="I185" s="5"/>
      <c r="K185" s="9"/>
    </row>
    <row r="186" customFormat="false" ht="15.75" hidden="false" customHeight="false" outlineLevel="0" collapsed="false">
      <c r="A186" s="25"/>
      <c r="C186" s="20"/>
      <c r="D186" s="16"/>
      <c r="E186" s="16"/>
      <c r="F186" s="16"/>
      <c r="G186" s="16"/>
      <c r="H186" s="16"/>
      <c r="I186" s="5"/>
      <c r="K186" s="9"/>
    </row>
    <row r="187" customFormat="false" ht="15.75" hidden="false" customHeight="false" outlineLevel="0" collapsed="false">
      <c r="A187" s="24"/>
      <c r="C187" s="20"/>
      <c r="D187" s="16"/>
      <c r="E187" s="16"/>
      <c r="F187" s="16"/>
      <c r="G187" s="16"/>
      <c r="H187" s="16"/>
      <c r="I187" s="5"/>
      <c r="K187" s="9"/>
    </row>
    <row r="188" customFormat="false" ht="15.75" hidden="false" customHeight="false" outlineLevel="0" collapsed="false">
      <c r="A188" s="27"/>
      <c r="C188" s="20"/>
      <c r="D188" s="16"/>
      <c r="E188" s="16"/>
      <c r="F188" s="16"/>
      <c r="G188" s="16"/>
      <c r="H188" s="16"/>
      <c r="I188" s="5"/>
      <c r="K188" s="9"/>
    </row>
    <row r="189" customFormat="false" ht="15.75" hidden="false" customHeight="false" outlineLevel="0" collapsed="false">
      <c r="A189" s="23"/>
      <c r="C189" s="20"/>
      <c r="D189" s="16"/>
      <c r="E189" s="16"/>
      <c r="F189" s="16"/>
      <c r="G189" s="16"/>
      <c r="H189" s="16"/>
      <c r="I189" s="5"/>
      <c r="K189" s="9"/>
    </row>
    <row r="190" customFormat="false" ht="15.75" hidden="false" customHeight="false" outlineLevel="0" collapsed="false">
      <c r="A190" s="25"/>
      <c r="C190" s="20"/>
      <c r="D190" s="16"/>
      <c r="E190" s="16"/>
      <c r="F190" s="16"/>
      <c r="G190" s="16"/>
      <c r="H190" s="16"/>
      <c r="I190" s="5"/>
      <c r="K190" s="9"/>
    </row>
    <row r="191" customFormat="false" ht="15.75" hidden="false" customHeight="false" outlineLevel="0" collapsed="false">
      <c r="A191" s="23"/>
      <c r="C191" s="20"/>
      <c r="D191" s="16"/>
      <c r="E191" s="16"/>
      <c r="F191" s="16"/>
      <c r="G191" s="16"/>
      <c r="H191" s="16"/>
      <c r="I191" s="5"/>
      <c r="K191" s="9"/>
    </row>
    <row r="192" customFormat="false" ht="15.75" hidden="false" customHeight="false" outlineLevel="0" collapsed="false">
      <c r="A192" s="24"/>
      <c r="C192" s="20"/>
      <c r="D192" s="16"/>
      <c r="E192" s="16"/>
      <c r="F192" s="16"/>
      <c r="G192" s="16"/>
      <c r="H192" s="16"/>
      <c r="I192" s="5"/>
      <c r="K192" s="9"/>
    </row>
    <row r="193" customFormat="false" ht="15.75" hidden="false" customHeight="false" outlineLevel="0" collapsed="false">
      <c r="A193" s="23"/>
      <c r="C193" s="20"/>
      <c r="D193" s="16"/>
      <c r="E193" s="16"/>
      <c r="F193" s="16"/>
      <c r="G193" s="16"/>
      <c r="H193" s="16"/>
      <c r="I193" s="5"/>
      <c r="K193" s="9"/>
    </row>
    <row r="194" customFormat="false" ht="15.75" hidden="false" customHeight="false" outlineLevel="0" collapsed="false">
      <c r="A194" s="24"/>
      <c r="C194" s="20"/>
      <c r="D194" s="16"/>
      <c r="E194" s="16"/>
      <c r="F194" s="16"/>
      <c r="G194" s="16"/>
      <c r="H194" s="16"/>
      <c r="I194" s="5"/>
      <c r="K194" s="9"/>
    </row>
    <row r="195" customFormat="false" ht="15.75" hidden="false" customHeight="false" outlineLevel="0" collapsed="false">
      <c r="A195" s="24"/>
      <c r="C195" s="20"/>
      <c r="D195" s="16"/>
      <c r="E195" s="16"/>
      <c r="F195" s="16"/>
      <c r="G195" s="16"/>
      <c r="H195" s="16"/>
      <c r="I195" s="5"/>
      <c r="K195" s="9"/>
    </row>
    <row r="196" customFormat="false" ht="15.75" hidden="false" customHeight="false" outlineLevel="0" collapsed="false">
      <c r="A196" s="24"/>
      <c r="C196" s="20"/>
      <c r="D196" s="16"/>
      <c r="E196" s="16"/>
      <c r="F196" s="16"/>
      <c r="G196" s="16"/>
      <c r="H196" s="16"/>
      <c r="I196" s="5"/>
      <c r="K196" s="9"/>
    </row>
    <row r="197" customFormat="false" ht="15.75" hidden="false" customHeight="false" outlineLevel="0" collapsed="false">
      <c r="A197" s="24"/>
      <c r="C197" s="20"/>
      <c r="D197" s="16"/>
      <c r="E197" s="16"/>
      <c r="F197" s="16"/>
      <c r="G197" s="16"/>
      <c r="H197" s="16"/>
      <c r="I197" s="5"/>
      <c r="K197" s="9"/>
    </row>
    <row r="198" customFormat="false" ht="15.75" hidden="false" customHeight="false" outlineLevel="0" collapsed="false">
      <c r="A198" s="24"/>
      <c r="C198" s="20"/>
      <c r="D198" s="16"/>
      <c r="E198" s="16"/>
      <c r="F198" s="16"/>
      <c r="G198" s="16"/>
      <c r="H198" s="16"/>
      <c r="I198" s="5"/>
      <c r="K198" s="9"/>
    </row>
    <row r="199" customFormat="false" ht="15.75" hidden="false" customHeight="false" outlineLevel="0" collapsed="false">
      <c r="A199" s="24"/>
      <c r="C199" s="20"/>
      <c r="D199" s="16"/>
      <c r="E199" s="16"/>
      <c r="F199" s="16"/>
      <c r="G199" s="16"/>
      <c r="H199" s="16"/>
      <c r="I199" s="5"/>
      <c r="K199" s="9"/>
    </row>
    <row r="200" customFormat="false" ht="15.75" hidden="false" customHeight="false" outlineLevel="0" collapsed="false">
      <c r="A200" s="23"/>
      <c r="C200" s="20"/>
      <c r="D200" s="16"/>
      <c r="E200" s="16"/>
      <c r="F200" s="16"/>
      <c r="G200" s="16"/>
      <c r="H200" s="16"/>
      <c r="I200" s="5"/>
      <c r="K200" s="9"/>
    </row>
    <row r="201" customFormat="false" ht="15.75" hidden="false" customHeight="false" outlineLevel="0" collapsed="false">
      <c r="A201" s="28"/>
      <c r="C201" s="20"/>
      <c r="D201" s="16"/>
      <c r="E201" s="16"/>
      <c r="F201" s="16"/>
      <c r="G201" s="16"/>
      <c r="H201" s="16"/>
      <c r="I201" s="5"/>
      <c r="K201" s="9"/>
    </row>
    <row r="202" customFormat="false" ht="15.75" hidden="false" customHeight="false" outlineLevel="0" collapsed="false">
      <c r="A202" s="23"/>
      <c r="C202" s="20"/>
      <c r="D202" s="16"/>
      <c r="E202" s="16"/>
      <c r="F202" s="16"/>
      <c r="G202" s="16"/>
      <c r="H202" s="16"/>
      <c r="I202" s="5"/>
      <c r="K202" s="9"/>
    </row>
    <row r="203" customFormat="false" ht="15.75" hidden="false" customHeight="false" outlineLevel="0" collapsed="false">
      <c r="A203" s="23"/>
      <c r="C203" s="20"/>
      <c r="D203" s="16"/>
      <c r="E203" s="16"/>
      <c r="F203" s="16"/>
      <c r="G203" s="16"/>
      <c r="H203" s="16"/>
      <c r="I203" s="5"/>
      <c r="K203" s="9"/>
    </row>
    <row r="204" customFormat="false" ht="15.75" hidden="false" customHeight="false" outlineLevel="0" collapsed="false">
      <c r="A204" s="24"/>
      <c r="C204" s="20"/>
      <c r="D204" s="16"/>
      <c r="E204" s="16"/>
      <c r="F204" s="16"/>
      <c r="G204" s="16"/>
      <c r="H204" s="16"/>
      <c r="I204" s="5"/>
      <c r="K204" s="9"/>
    </row>
    <row r="205" customFormat="false" ht="15.75" hidden="false" customHeight="false" outlineLevel="0" collapsed="false">
      <c r="A205" s="24"/>
      <c r="C205" s="20"/>
      <c r="D205" s="16"/>
      <c r="E205" s="16"/>
      <c r="F205" s="16"/>
      <c r="G205" s="16"/>
      <c r="H205" s="16"/>
      <c r="I205" s="5"/>
      <c r="K205" s="9"/>
    </row>
    <row r="206" customFormat="false" ht="15.75" hidden="false" customHeight="false" outlineLevel="0" collapsed="false">
      <c r="A206" s="24"/>
      <c r="C206" s="20"/>
      <c r="D206" s="16"/>
      <c r="E206" s="16"/>
      <c r="F206" s="16"/>
      <c r="G206" s="16"/>
      <c r="H206" s="16"/>
      <c r="I206" s="5"/>
      <c r="K206" s="9"/>
    </row>
    <row r="207" customFormat="false" ht="15.75" hidden="false" customHeight="false" outlineLevel="0" collapsed="false">
      <c r="A207" s="24"/>
      <c r="C207" s="20"/>
      <c r="D207" s="16"/>
      <c r="E207" s="16"/>
      <c r="F207" s="16"/>
      <c r="G207" s="16"/>
      <c r="H207" s="16"/>
      <c r="I207" s="5"/>
      <c r="K207" s="9"/>
    </row>
    <row r="208" customFormat="false" ht="15.75" hidden="false" customHeight="false" outlineLevel="0" collapsed="false">
      <c r="A208" s="24"/>
      <c r="C208" s="20"/>
      <c r="D208" s="16"/>
      <c r="E208" s="16"/>
      <c r="F208" s="16"/>
      <c r="G208" s="16"/>
      <c r="H208" s="16"/>
      <c r="I208" s="5"/>
      <c r="K208" s="9"/>
    </row>
    <row r="209" customFormat="false" ht="15.75" hidden="false" customHeight="false" outlineLevel="0" collapsed="false">
      <c r="A209" s="24"/>
      <c r="C209" s="20"/>
      <c r="D209" s="16"/>
      <c r="E209" s="16"/>
      <c r="F209" s="16"/>
      <c r="G209" s="16"/>
      <c r="H209" s="16"/>
      <c r="I209" s="5"/>
      <c r="K209" s="9"/>
    </row>
    <row r="210" customFormat="false" ht="15.75" hidden="false" customHeight="false" outlineLevel="0" collapsed="false">
      <c r="A210" s="23"/>
      <c r="C210" s="20"/>
      <c r="D210" s="16"/>
      <c r="E210" s="16"/>
      <c r="F210" s="16"/>
      <c r="G210" s="16"/>
      <c r="H210" s="16"/>
      <c r="I210" s="5"/>
      <c r="K210" s="9"/>
    </row>
    <row r="211" customFormat="false" ht="15.75" hidden="false" customHeight="false" outlineLevel="0" collapsed="false">
      <c r="A211" s="23"/>
      <c r="C211" s="20"/>
      <c r="D211" s="16"/>
      <c r="E211" s="16"/>
      <c r="F211" s="16"/>
      <c r="G211" s="16"/>
      <c r="H211" s="16"/>
      <c r="I211" s="5"/>
      <c r="K211" s="9"/>
    </row>
    <row r="212" customFormat="false" ht="15.75" hidden="false" customHeight="false" outlineLevel="0" collapsed="false">
      <c r="A212" s="25"/>
      <c r="C212" s="20"/>
      <c r="D212" s="16"/>
      <c r="E212" s="16"/>
      <c r="F212" s="16"/>
      <c r="G212" s="16"/>
      <c r="H212" s="16"/>
      <c r="I212" s="5"/>
      <c r="K212" s="9"/>
    </row>
    <row r="213" customFormat="false" ht="15.75" hidden="false" customHeight="false" outlineLevel="0" collapsed="false">
      <c r="A213" s="24"/>
      <c r="C213" s="20"/>
      <c r="D213" s="16"/>
      <c r="E213" s="16"/>
      <c r="F213" s="16"/>
      <c r="G213" s="16"/>
      <c r="H213" s="16"/>
      <c r="I213" s="5"/>
      <c r="K213" s="9"/>
    </row>
    <row r="214" customFormat="false" ht="15.75" hidden="false" customHeight="false" outlineLevel="0" collapsed="false">
      <c r="A214" s="23"/>
      <c r="C214" s="20"/>
      <c r="D214" s="16"/>
      <c r="E214" s="16"/>
      <c r="F214" s="16"/>
      <c r="G214" s="16"/>
      <c r="H214" s="16"/>
      <c r="I214" s="5"/>
      <c r="K214" s="9"/>
    </row>
    <row r="215" customFormat="false" ht="15.75" hidden="false" customHeight="false" outlineLevel="0" collapsed="false">
      <c r="A215" s="23"/>
      <c r="C215" s="20"/>
      <c r="D215" s="16"/>
      <c r="E215" s="16"/>
      <c r="F215" s="16"/>
      <c r="G215" s="16"/>
      <c r="H215" s="16"/>
      <c r="I215" s="5"/>
      <c r="K215" s="9"/>
    </row>
    <row r="216" customFormat="false" ht="15.75" hidden="false" customHeight="false" outlineLevel="0" collapsed="false">
      <c r="A216" s="23"/>
      <c r="C216" s="20"/>
      <c r="D216" s="16"/>
      <c r="E216" s="16"/>
      <c r="F216" s="16"/>
      <c r="G216" s="16"/>
      <c r="H216" s="16"/>
      <c r="I216" s="5"/>
      <c r="K216" s="9"/>
    </row>
    <row r="217" customFormat="false" ht="15.75" hidden="false" customHeight="false" outlineLevel="0" collapsed="false">
      <c r="A217" s="24"/>
      <c r="C217" s="20"/>
    </row>
    <row r="218" customFormat="false" ht="15.75" hidden="false" customHeight="false" outlineLevel="0" collapsed="false">
      <c r="A218" s="23"/>
      <c r="C218" s="20"/>
    </row>
    <row r="219" customFormat="false" ht="15.75" hidden="false" customHeight="false" outlineLevel="0" collapsed="false">
      <c r="A219" s="24"/>
      <c r="C219" s="20"/>
    </row>
    <row r="220" customFormat="false" ht="15.75" hidden="false" customHeight="false" outlineLevel="0" collapsed="false">
      <c r="A220" s="28"/>
      <c r="C220" s="20"/>
    </row>
    <row r="221" customFormat="false" ht="15.75" hidden="false" customHeight="false" outlineLevel="0" collapsed="false">
      <c r="A221" s="24"/>
      <c r="C221" s="20"/>
    </row>
    <row r="222" customFormat="false" ht="15.75" hidden="false" customHeight="false" outlineLevel="0" collapsed="false">
      <c r="A222" s="24"/>
      <c r="C222" s="20"/>
    </row>
    <row r="223" customFormat="false" ht="15.75" hidden="false" customHeight="false" outlineLevel="0" collapsed="false">
      <c r="A223" s="25"/>
      <c r="C223" s="20"/>
    </row>
    <row r="224" customFormat="false" ht="15.75" hidden="false" customHeight="false" outlineLevel="0" collapsed="false">
      <c r="A224" s="25"/>
      <c r="C224" s="20"/>
    </row>
    <row r="225" customFormat="false" ht="15.75" hidden="false" customHeight="false" outlineLevel="0" collapsed="false">
      <c r="A225" s="23"/>
      <c r="C225" s="20"/>
    </row>
    <row r="226" customFormat="false" ht="15.75" hidden="false" customHeight="false" outlineLevel="0" collapsed="false">
      <c r="A226" s="23"/>
      <c r="C226" s="20"/>
    </row>
    <row r="227" customFormat="false" ht="15.75" hidden="false" customHeight="false" outlineLevel="0" collapsed="false">
      <c r="A227" s="23"/>
      <c r="C227" s="20"/>
    </row>
    <row r="228" customFormat="false" ht="15.75" hidden="false" customHeight="false" outlineLevel="0" collapsed="false">
      <c r="A228" s="25"/>
      <c r="C228" s="20"/>
    </row>
    <row r="229" customFormat="false" ht="15.75" hidden="false" customHeight="false" outlineLevel="0" collapsed="false">
      <c r="A229" s="25"/>
      <c r="C229" s="20"/>
    </row>
    <row r="230" customFormat="false" ht="15.75" hidden="false" customHeight="false" outlineLevel="0" collapsed="false">
      <c r="A230" s="25"/>
      <c r="C230" s="20"/>
    </row>
    <row r="231" customFormat="false" ht="15.75" hidden="false" customHeight="false" outlineLevel="0" collapsed="false">
      <c r="A231" s="29"/>
      <c r="C231" s="20"/>
    </row>
    <row r="232" customFormat="false" ht="15.75" hidden="false" customHeight="false" outlineLevel="0" collapsed="false">
      <c r="A232" s="29"/>
      <c r="C232" s="20"/>
    </row>
    <row r="233" customFormat="false" ht="15.75" hidden="false" customHeight="false" outlineLevel="0" collapsed="false">
      <c r="A233" s="30"/>
      <c r="C233" s="20"/>
    </row>
    <row r="234" customFormat="false" ht="15.75" hidden="false" customHeight="false" outlineLevel="0" collapsed="false">
      <c r="A234" s="29"/>
      <c r="C234" s="20"/>
    </row>
    <row r="235" customFormat="false" ht="15.75" hidden="false" customHeight="false" outlineLevel="0" collapsed="false">
      <c r="A235" s="29"/>
      <c r="C235" s="20"/>
    </row>
    <row r="236" customFormat="false" ht="15.75" hidden="false" customHeight="false" outlineLevel="0" collapsed="false">
      <c r="A236" s="29"/>
      <c r="C236" s="20"/>
    </row>
    <row r="237" customFormat="false" ht="15.75" hidden="false" customHeight="false" outlineLevel="0" collapsed="false">
      <c r="A237" s="24"/>
      <c r="C237" s="20"/>
    </row>
    <row r="238" customFormat="false" ht="15.75" hidden="false" customHeight="false" outlineLevel="0" collapsed="false">
      <c r="A238" s="23"/>
      <c r="C238" s="20"/>
    </row>
    <row r="239" customFormat="false" ht="15.75" hidden="false" customHeight="false" outlineLevel="0" collapsed="false">
      <c r="A239" s="23"/>
      <c r="C239" s="20"/>
    </row>
    <row r="240" customFormat="false" ht="15.75" hidden="false" customHeight="false" outlineLevel="0" collapsed="false">
      <c r="A240" s="23"/>
      <c r="C240" s="20"/>
    </row>
    <row r="241" customFormat="false" ht="15.75" hidden="false" customHeight="false" outlineLevel="0" collapsed="false">
      <c r="A241" s="23"/>
      <c r="C241" s="20"/>
    </row>
    <row r="242" customFormat="false" ht="15.75" hidden="false" customHeight="false" outlineLevel="0" collapsed="false">
      <c r="A242" s="24"/>
      <c r="C242" s="20"/>
    </row>
    <row r="243" customFormat="false" ht="15.75" hidden="false" customHeight="false" outlineLevel="0" collapsed="false">
      <c r="A243" s="24"/>
      <c r="C243" s="20"/>
    </row>
    <row r="244" customFormat="false" ht="15.75" hidden="false" customHeight="false" outlineLevel="0" collapsed="false">
      <c r="A244" s="24"/>
      <c r="C244" s="20"/>
    </row>
    <row r="245" customFormat="false" ht="15.75" hidden="false" customHeight="false" outlineLevel="0" collapsed="false">
      <c r="A245" s="24"/>
      <c r="C245" s="20"/>
    </row>
    <row r="246" customFormat="false" ht="15.75" hidden="false" customHeight="false" outlineLevel="0" collapsed="false">
      <c r="A246" s="23"/>
      <c r="C246" s="20"/>
    </row>
    <row r="247" customFormat="false" ht="15.75" hidden="false" customHeight="false" outlineLevel="0" collapsed="false">
      <c r="A247" s="24"/>
      <c r="C247" s="20"/>
    </row>
    <row r="248" customFormat="false" ht="15.75" hidden="false" customHeight="false" outlineLevel="0" collapsed="false">
      <c r="A248" s="23"/>
      <c r="C248" s="20"/>
    </row>
    <row r="249" customFormat="false" ht="15.75" hidden="false" customHeight="false" outlineLevel="0" collapsed="false">
      <c r="A249" s="23"/>
      <c r="C249" s="20"/>
    </row>
    <row r="250" customFormat="false" ht="15.75" hidden="false" customHeight="false" outlineLevel="0" collapsed="false">
      <c r="A250" s="23"/>
      <c r="C250" s="20"/>
    </row>
    <row r="251" customFormat="false" ht="15.75" hidden="false" customHeight="false" outlineLevel="0" collapsed="false">
      <c r="A251" s="31"/>
      <c r="C251" s="20"/>
    </row>
    <row r="252" customFormat="false" ht="15.75" hidden="false" customHeight="false" outlineLevel="0" collapsed="false">
      <c r="A252" s="23"/>
      <c r="C252" s="20"/>
    </row>
    <row r="253" customFormat="false" ht="15.75" hidden="false" customHeight="false" outlineLevel="0" collapsed="false">
      <c r="A253" s="24"/>
      <c r="C253" s="20"/>
    </row>
    <row r="254" customFormat="false" ht="15.75" hidden="false" customHeight="false" outlineLevel="0" collapsed="false">
      <c r="A254" s="23"/>
      <c r="C254" s="20"/>
    </row>
    <row r="255" customFormat="false" ht="15.75" hidden="false" customHeight="false" outlineLevel="0" collapsed="false">
      <c r="A255" s="23"/>
      <c r="C255" s="20"/>
    </row>
    <row r="256" customFormat="false" ht="15.75" hidden="false" customHeight="false" outlineLevel="0" collapsed="false">
      <c r="A256" s="23"/>
      <c r="C256" s="20"/>
    </row>
    <row r="257" customFormat="false" ht="15.75" hidden="false" customHeight="false" outlineLevel="0" collapsed="false">
      <c r="A257" s="24"/>
      <c r="C257" s="20"/>
    </row>
    <row r="258" customFormat="false" ht="15.75" hidden="false" customHeight="false" outlineLevel="0" collapsed="false">
      <c r="A258" s="25"/>
      <c r="C258" s="20"/>
    </row>
    <row r="259" customFormat="false" ht="15.75" hidden="false" customHeight="false" outlineLevel="0" collapsed="false">
      <c r="A259" s="23"/>
      <c r="C259" s="20"/>
    </row>
    <row r="260" customFormat="false" ht="15.75" hidden="false" customHeight="false" outlineLevel="0" collapsed="false">
      <c r="A260" s="24"/>
      <c r="C260" s="20"/>
    </row>
    <row r="261" customFormat="false" ht="15.75" hidden="false" customHeight="false" outlineLevel="0" collapsed="false">
      <c r="A261" s="24"/>
      <c r="C261" s="20"/>
    </row>
    <row r="262" customFormat="false" ht="15.75" hidden="false" customHeight="false" outlineLevel="0" collapsed="false">
      <c r="A262" s="23"/>
      <c r="C262" s="20"/>
    </row>
    <row r="263" customFormat="false" ht="15.75" hidden="false" customHeight="false" outlineLevel="0" collapsed="false">
      <c r="A263" s="22"/>
      <c r="C263" s="20"/>
    </row>
    <row r="264" customFormat="false" ht="15.75" hidden="false" customHeight="false" outlineLevel="0" collapsed="false">
      <c r="A264" s="25"/>
      <c r="C264" s="20"/>
    </row>
    <row r="265" customFormat="false" ht="15.75" hidden="false" customHeight="false" outlineLevel="0" collapsed="false">
      <c r="A265" s="25"/>
      <c r="C265" s="20"/>
    </row>
    <row r="266" customFormat="false" ht="15.75" hidden="false" customHeight="false" outlineLevel="0" collapsed="false">
      <c r="A266" s="25"/>
      <c r="C266" s="20"/>
    </row>
    <row r="267" customFormat="false" ht="15.75" hidden="false" customHeight="false" outlineLevel="0" collapsed="false">
      <c r="A267" s="25"/>
      <c r="C267" s="20"/>
    </row>
    <row r="268" customFormat="false" ht="15.75" hidden="false" customHeight="false" outlineLevel="0" collapsed="false">
      <c r="A268" s="25"/>
      <c r="C268" s="20"/>
    </row>
    <row r="269" customFormat="false" ht="15.75" hidden="false" customHeight="false" outlineLevel="0" collapsed="false">
      <c r="A269" s="28"/>
      <c r="C269" s="20"/>
    </row>
    <row r="270" customFormat="false" ht="15.75" hidden="false" customHeight="false" outlineLevel="0" collapsed="false">
      <c r="A270" s="24"/>
      <c r="C270" s="20"/>
    </row>
    <row r="271" customFormat="false" ht="15.75" hidden="false" customHeight="false" outlineLevel="0" collapsed="false">
      <c r="A271" s="23"/>
      <c r="C271" s="20"/>
    </row>
    <row r="272" customFormat="false" ht="15.75" hidden="false" customHeight="false" outlineLevel="0" collapsed="false">
      <c r="A272" s="24"/>
      <c r="C272" s="20"/>
    </row>
    <row r="273" customFormat="false" ht="15.75" hidden="false" customHeight="false" outlineLevel="0" collapsed="false">
      <c r="A273" s="24"/>
      <c r="C273" s="20"/>
    </row>
    <row r="274" customFormat="false" ht="15.75" hidden="false" customHeight="false" outlineLevel="0" collapsed="false">
      <c r="A274" s="24"/>
      <c r="C274" s="20"/>
    </row>
    <row r="275" customFormat="false" ht="15.75" hidden="false" customHeight="false" outlineLevel="0" collapsed="false">
      <c r="A275" s="22"/>
      <c r="C275" s="20"/>
    </row>
    <row r="276" customFormat="false" ht="15.75" hidden="false" customHeight="false" outlineLevel="0" collapsed="false">
      <c r="A276" s="22"/>
      <c r="C276" s="20"/>
    </row>
    <row r="277" customFormat="false" ht="15.75" hidden="false" customHeight="false" outlineLevel="0" collapsed="false">
      <c r="A277" s="22"/>
      <c r="C277" s="20"/>
    </row>
    <row r="278" customFormat="false" ht="15.75" hidden="false" customHeight="false" outlineLevel="0" collapsed="false">
      <c r="A278" s="22"/>
      <c r="C278" s="20"/>
    </row>
    <row r="279" customFormat="false" ht="15.75" hidden="false" customHeight="false" outlineLevel="0" collapsed="false">
      <c r="A279" s="22"/>
      <c r="C279" s="20"/>
    </row>
    <row r="280" customFormat="false" ht="15.75" hidden="false" customHeight="false" outlineLevel="0" collapsed="false">
      <c r="A280" s="23"/>
      <c r="C280" s="20"/>
    </row>
    <row r="281" customFormat="false" ht="15.75" hidden="false" customHeight="false" outlineLevel="0" collapsed="false">
      <c r="A281" s="25"/>
      <c r="C281" s="20"/>
    </row>
    <row r="282" customFormat="false" ht="15.75" hidden="false" customHeight="false" outlineLevel="0" collapsed="false">
      <c r="A282" s="25"/>
      <c r="C282" s="20"/>
    </row>
    <row r="283" customFormat="false" ht="15.75" hidden="false" customHeight="false" outlineLevel="0" collapsed="false">
      <c r="A283" s="25"/>
      <c r="C283" s="20"/>
    </row>
    <row r="284" customFormat="false" ht="15.75" hidden="false" customHeight="false" outlineLevel="0" collapsed="false">
      <c r="A284" s="32"/>
      <c r="C284" s="20"/>
    </row>
    <row r="285" customFormat="false" ht="15.75" hidden="false" customHeight="false" outlineLevel="0" collapsed="false">
      <c r="A285" s="25"/>
      <c r="C285" s="20"/>
    </row>
    <row r="286" customFormat="false" ht="15.75" hidden="false" customHeight="false" outlineLevel="0" collapsed="false">
      <c r="A286" s="24"/>
      <c r="C286" s="20"/>
    </row>
    <row r="287" customFormat="false" ht="15.75" hidden="false" customHeight="false" outlineLevel="0" collapsed="false">
      <c r="A287" s="24"/>
      <c r="C287" s="20"/>
    </row>
    <row r="288" customFormat="false" ht="15.75" hidden="false" customHeight="false" outlineLevel="0" collapsed="false">
      <c r="A288" s="24"/>
      <c r="C288" s="20"/>
    </row>
    <row r="289" customFormat="false" ht="15.75" hidden="false" customHeight="false" outlineLevel="0" collapsed="false">
      <c r="A289" s="24"/>
      <c r="C289" s="20"/>
    </row>
    <row r="290" customFormat="false" ht="15.75" hidden="false" customHeight="false" outlineLevel="0" collapsed="false">
      <c r="A290" s="25"/>
      <c r="C290" s="20"/>
    </row>
    <row r="291" customFormat="false" ht="15.75" hidden="false" customHeight="false" outlineLevel="0" collapsed="false">
      <c r="A291" s="25"/>
      <c r="C291" s="20"/>
    </row>
    <row r="292" customFormat="false" ht="15.75" hidden="false" customHeight="false" outlineLevel="0" collapsed="false">
      <c r="A292" s="24"/>
      <c r="C292" s="20"/>
    </row>
    <row r="293" customFormat="false" ht="15.75" hidden="false" customHeight="false" outlineLevel="0" collapsed="false">
      <c r="A293" s="24"/>
      <c r="C293" s="20"/>
    </row>
    <row r="294" customFormat="false" ht="15.75" hidden="false" customHeight="false" outlineLevel="0" collapsed="false">
      <c r="A294" s="23"/>
      <c r="C294" s="20"/>
    </row>
    <row r="295" customFormat="false" ht="15.75" hidden="false" customHeight="false" outlineLevel="0" collapsed="false">
      <c r="A295" s="25"/>
      <c r="C295" s="20"/>
    </row>
    <row r="296" customFormat="false" ht="15.75" hidden="false" customHeight="false" outlineLevel="0" collapsed="false">
      <c r="A296" s="24"/>
      <c r="C296" s="20"/>
    </row>
    <row r="297" customFormat="false" ht="15.75" hidden="false" customHeight="false" outlineLevel="0" collapsed="false">
      <c r="A297" s="23"/>
      <c r="C297" s="20"/>
    </row>
    <row r="298" customFormat="false" ht="15.75" hidden="false" customHeight="false" outlineLevel="0" collapsed="false">
      <c r="A298" s="22"/>
      <c r="C298" s="20"/>
    </row>
    <row r="299" customFormat="false" ht="15.75" hidden="false" customHeight="false" outlineLevel="0" collapsed="false">
      <c r="A299" s="23"/>
      <c r="C299" s="20"/>
    </row>
    <row r="300" customFormat="false" ht="15.75" hidden="false" customHeight="false" outlineLevel="0" collapsed="false">
      <c r="A300" s="24"/>
      <c r="C300" s="20"/>
    </row>
    <row r="301" customFormat="false" ht="15.75" hidden="false" customHeight="false" outlineLevel="0" collapsed="false">
      <c r="A301" s="24"/>
      <c r="C301" s="20"/>
    </row>
    <row r="302" customFormat="false" ht="15.75" hidden="false" customHeight="false" outlineLevel="0" collapsed="false">
      <c r="A302" s="24"/>
      <c r="C302" s="20"/>
    </row>
    <row r="303" customFormat="false" ht="15.75" hidden="false" customHeight="false" outlineLevel="0" collapsed="false">
      <c r="A303" s="33"/>
      <c r="C303" s="20"/>
    </row>
    <row r="304" customFormat="false" ht="15.75" hidden="false" customHeight="false" outlineLevel="0" collapsed="false">
      <c r="A304" s="24"/>
      <c r="C304" s="20"/>
    </row>
    <row r="305" customFormat="false" ht="15.75" hidden="false" customHeight="false" outlineLevel="0" collapsed="false">
      <c r="A305" s="24"/>
      <c r="C305" s="20"/>
    </row>
    <row r="306" customFormat="false" ht="15.75" hidden="false" customHeight="false" outlineLevel="0" collapsed="false">
      <c r="A306" s="25"/>
      <c r="C306" s="20"/>
    </row>
    <row r="307" customFormat="false" ht="15.75" hidden="false" customHeight="false" outlineLevel="0" collapsed="false">
      <c r="A307" s="24"/>
      <c r="C307" s="20"/>
    </row>
    <row r="308" customFormat="false" ht="15.75" hidden="false" customHeight="false" outlineLevel="0" collapsed="false">
      <c r="A308" s="25"/>
      <c r="C308" s="20"/>
    </row>
    <row r="309" customFormat="false" ht="15.75" hidden="false" customHeight="false" outlineLevel="0" collapsed="false">
      <c r="A309" s="28"/>
      <c r="C309" s="20"/>
    </row>
    <row r="310" customFormat="false" ht="15.75" hidden="false" customHeight="false" outlineLevel="0" collapsed="false">
      <c r="A310" s="24"/>
      <c r="C310" s="20"/>
    </row>
    <row r="311" customFormat="false" ht="15.75" hidden="false" customHeight="false" outlineLevel="0" collapsed="false">
      <c r="A311" s="24"/>
      <c r="C311" s="20"/>
    </row>
    <row r="312" customFormat="false" ht="15.75" hidden="false" customHeight="false" outlineLevel="0" collapsed="false">
      <c r="A312" s="24"/>
      <c r="C312" s="20"/>
    </row>
    <row r="313" customFormat="false" ht="15.75" hidden="false" customHeight="false" outlineLevel="0" collapsed="false">
      <c r="A313" s="24"/>
      <c r="C313" s="20"/>
    </row>
    <row r="314" customFormat="false" ht="15.75" hidden="false" customHeight="false" outlineLevel="0" collapsed="false">
      <c r="A314" s="24"/>
      <c r="C314" s="20"/>
    </row>
    <row r="315" customFormat="false" ht="15.75" hidden="false" customHeight="false" outlineLevel="0" collapsed="false">
      <c r="A315" s="24"/>
      <c r="C315" s="20"/>
    </row>
    <row r="316" customFormat="false" ht="15.75" hidden="false" customHeight="false" outlineLevel="0" collapsed="false">
      <c r="A316" s="24"/>
      <c r="C316" s="20"/>
    </row>
    <row r="317" customFormat="false" ht="15.75" hidden="false" customHeight="false" outlineLevel="0" collapsed="false">
      <c r="A317" s="24"/>
      <c r="C317" s="20"/>
    </row>
    <row r="318" customFormat="false" ht="15.75" hidden="false" customHeight="false" outlineLevel="0" collapsed="false">
      <c r="A318" s="28"/>
      <c r="C318" s="20"/>
    </row>
    <row r="319" customFormat="false" ht="15.75" hidden="false" customHeight="false" outlineLevel="0" collapsed="false">
      <c r="A319" s="25"/>
      <c r="C319" s="20"/>
    </row>
    <row r="320" customFormat="false" ht="15.75" hidden="false" customHeight="false" outlineLevel="0" collapsed="false">
      <c r="A320" s="25"/>
      <c r="C320" s="20"/>
    </row>
    <row r="321" customFormat="false" ht="15.75" hidden="false" customHeight="false" outlineLevel="0" collapsed="false">
      <c r="A321" s="25"/>
      <c r="C321" s="20"/>
    </row>
    <row r="322" customFormat="false" ht="15.75" hidden="false" customHeight="false" outlineLevel="0" collapsed="false">
      <c r="A322" s="34"/>
      <c r="C322" s="20"/>
    </row>
    <row r="323" customFormat="false" ht="15.75" hidden="false" customHeight="false" outlineLevel="0" collapsed="false">
      <c r="A323" s="24"/>
      <c r="C323" s="20"/>
    </row>
    <row r="324" customFormat="false" ht="15.75" hidden="false" customHeight="false" outlineLevel="0" collapsed="false">
      <c r="A324" s="24"/>
      <c r="C324" s="20"/>
    </row>
    <row r="325" customFormat="false" ht="15.75" hidden="false" customHeight="false" outlineLevel="0" collapsed="false">
      <c r="A325" s="24"/>
      <c r="C325" s="20"/>
    </row>
    <row r="326" customFormat="false" ht="15.75" hidden="false" customHeight="false" outlineLevel="0" collapsed="false">
      <c r="A326" s="24"/>
      <c r="C326" s="20"/>
    </row>
    <row r="327" customFormat="false" ht="15.75" hidden="false" customHeight="false" outlineLevel="0" collapsed="false">
      <c r="A327" s="24"/>
      <c r="C327" s="20"/>
    </row>
    <row r="328" customFormat="false" ht="15.75" hidden="false" customHeight="false" outlineLevel="0" collapsed="false">
      <c r="A328" s="24"/>
      <c r="C328" s="20"/>
    </row>
    <row r="329" customFormat="false" ht="15.75" hidden="false" customHeight="false" outlineLevel="0" collapsed="false">
      <c r="A329" s="24"/>
      <c r="C329" s="20"/>
    </row>
    <row r="330" customFormat="false" ht="15.75" hidden="false" customHeight="false" outlineLevel="0" collapsed="false">
      <c r="A330" s="24"/>
      <c r="C330" s="20"/>
    </row>
    <row r="331" customFormat="false" ht="15.75" hidden="false" customHeight="false" outlineLevel="0" collapsed="false">
      <c r="A331" s="24"/>
      <c r="C331" s="20"/>
    </row>
    <row r="332" customFormat="false" ht="15.75" hidden="false" customHeight="false" outlineLevel="0" collapsed="false">
      <c r="A332" s="24"/>
      <c r="C332" s="20"/>
    </row>
    <row r="333" customFormat="false" ht="15.75" hidden="false" customHeight="false" outlineLevel="0" collapsed="false">
      <c r="A333" s="24"/>
      <c r="C333" s="20"/>
    </row>
    <row r="334" customFormat="false" ht="15.75" hidden="false" customHeight="false" outlineLevel="0" collapsed="false">
      <c r="A334" s="24"/>
      <c r="C334" s="20"/>
    </row>
    <row r="335" customFormat="false" ht="15.75" hidden="false" customHeight="false" outlineLevel="0" collapsed="false">
      <c r="A335" s="24"/>
      <c r="C335" s="20"/>
    </row>
    <row r="336" customFormat="false" ht="15.75" hidden="false" customHeight="false" outlineLevel="0" collapsed="false">
      <c r="C336" s="20"/>
    </row>
    <row r="337" customFormat="false" ht="15.75" hidden="false" customHeight="false" outlineLevel="0" collapsed="false">
      <c r="C337" s="20"/>
    </row>
    <row r="338" customFormat="false" ht="15.75" hidden="false" customHeight="false" outlineLevel="0" collapsed="false">
      <c r="C338" s="20"/>
    </row>
    <row r="339" customFormat="false" ht="15.75" hidden="false" customHeight="false" outlineLevel="0" collapsed="false">
      <c r="C339" s="20"/>
    </row>
    <row r="340" customFormat="false" ht="15.75" hidden="false" customHeight="false" outlineLevel="0" collapsed="false">
      <c r="A340" s="34"/>
      <c r="C340" s="20"/>
    </row>
    <row r="341" customFormat="false" ht="15.75" hidden="false" customHeight="false" outlineLevel="0" collapsed="false">
      <c r="A341" s="24"/>
      <c r="C341" s="20"/>
    </row>
    <row r="342" customFormat="false" ht="15.75" hidden="false" customHeight="false" outlineLevel="0" collapsed="false">
      <c r="A342" s="24"/>
      <c r="C342" s="20"/>
    </row>
    <row r="343" customFormat="false" ht="15.75" hidden="false" customHeight="false" outlineLevel="0" collapsed="false">
      <c r="A343" s="24"/>
      <c r="C343" s="20"/>
    </row>
    <row r="344" customFormat="false" ht="15.75" hidden="false" customHeight="false" outlineLevel="0" collapsed="false">
      <c r="A344" s="24"/>
      <c r="C344" s="20"/>
    </row>
    <row r="345" customFormat="false" ht="15.75" hidden="false" customHeight="false" outlineLevel="0" collapsed="false">
      <c r="A345" s="24"/>
      <c r="C345" s="20"/>
    </row>
    <row r="346" customFormat="false" ht="15.75" hidden="false" customHeight="false" outlineLevel="0" collapsed="false">
      <c r="A346" s="24"/>
      <c r="C346" s="20"/>
    </row>
    <row r="347" customFormat="false" ht="15.75" hidden="false" customHeight="false" outlineLevel="0" collapsed="false">
      <c r="A347" s="24"/>
      <c r="C347" s="20"/>
    </row>
    <row r="348" customFormat="false" ht="15.75" hidden="false" customHeight="false" outlineLevel="0" collapsed="false">
      <c r="A348" s="24"/>
      <c r="C348" s="20"/>
    </row>
    <row r="349" customFormat="false" ht="15.75" hidden="false" customHeight="false" outlineLevel="0" collapsed="false">
      <c r="C349" s="20"/>
    </row>
    <row r="350" customFormat="false" ht="15.75" hidden="false" customHeight="false" outlineLevel="0" collapsed="false">
      <c r="C350" s="20"/>
    </row>
    <row r="351" customFormat="false" ht="15.75" hidden="false" customHeight="false" outlineLevel="0" collapsed="false">
      <c r="C351" s="20"/>
    </row>
    <row r="352" customFormat="false" ht="15.75" hidden="false" customHeight="false" outlineLevel="0" collapsed="false">
      <c r="C352" s="20"/>
    </row>
    <row r="353" customFormat="false" ht="15.75" hidden="false" customHeight="false" outlineLevel="0" collapsed="false">
      <c r="C353" s="20"/>
    </row>
    <row r="354" customFormat="false" ht="15.75" hidden="false" customHeight="false" outlineLevel="0" collapsed="false">
      <c r="C354" s="20"/>
    </row>
    <row r="355" customFormat="false" ht="15.75" hidden="false" customHeight="false" outlineLevel="0" collapsed="false">
      <c r="C355" s="20"/>
    </row>
    <row r="356" customFormat="false" ht="15.75" hidden="false" customHeight="false" outlineLevel="0" collapsed="false">
      <c r="C356" s="20"/>
    </row>
    <row r="357" customFormat="false" ht="15.75" hidden="false" customHeight="false" outlineLevel="0" collapsed="false">
      <c r="C357" s="20"/>
    </row>
    <row r="358" customFormat="false" ht="15.75" hidden="false" customHeight="false" outlineLevel="0" collapsed="false">
      <c r="C358" s="20"/>
    </row>
    <row r="359" customFormat="false" ht="15.75" hidden="false" customHeight="false" outlineLevel="0" collapsed="false">
      <c r="C359" s="20"/>
    </row>
    <row r="360" customFormat="false" ht="15.75" hidden="false" customHeight="false" outlineLevel="0" collapsed="false">
      <c r="C360" s="20"/>
    </row>
    <row r="361" customFormat="false" ht="15.75" hidden="false" customHeight="false" outlineLevel="0" collapsed="false">
      <c r="C361" s="20"/>
    </row>
    <row r="362" customFormat="false" ht="15.75" hidden="false" customHeight="false" outlineLevel="0" collapsed="false">
      <c r="C362" s="20"/>
    </row>
    <row r="363" customFormat="false" ht="15.75" hidden="false" customHeight="false" outlineLevel="0" collapsed="false">
      <c r="C363" s="20"/>
    </row>
    <row r="364" customFormat="false" ht="15.75" hidden="false" customHeight="false" outlineLevel="0" collapsed="false">
      <c r="C364" s="20"/>
    </row>
    <row r="365" customFormat="false" ht="15.75" hidden="false" customHeight="false" outlineLevel="0" collapsed="false">
      <c r="C365" s="20"/>
    </row>
    <row r="366" customFormat="false" ht="15.75" hidden="false" customHeight="false" outlineLevel="0" collapsed="false">
      <c r="C366" s="20"/>
    </row>
    <row r="367" customFormat="false" ht="15.75" hidden="false" customHeight="false" outlineLevel="0" collapsed="false">
      <c r="C367" s="20"/>
    </row>
    <row r="368" customFormat="false" ht="15.75" hidden="false" customHeight="false" outlineLevel="0" collapsed="false">
      <c r="C368" s="20"/>
    </row>
    <row r="369" customFormat="false" ht="15.75" hidden="false" customHeight="false" outlineLevel="0" collapsed="false">
      <c r="C369" s="20"/>
    </row>
    <row r="370" customFormat="false" ht="15.75" hidden="false" customHeight="false" outlineLevel="0" collapsed="false">
      <c r="C370" s="20"/>
    </row>
    <row r="371" customFormat="false" ht="15.75" hidden="false" customHeight="false" outlineLevel="0" collapsed="false">
      <c r="C371" s="20"/>
    </row>
    <row r="372" customFormat="false" ht="15.75" hidden="false" customHeight="false" outlineLevel="0" collapsed="false">
      <c r="C372" s="20"/>
    </row>
    <row r="373" customFormat="false" ht="15.75" hidden="false" customHeight="false" outlineLevel="0" collapsed="false">
      <c r="C373" s="20"/>
    </row>
    <row r="374" customFormat="false" ht="15.75" hidden="false" customHeight="false" outlineLevel="0" collapsed="false">
      <c r="C374" s="20"/>
    </row>
    <row r="375" customFormat="false" ht="15.75" hidden="false" customHeight="false" outlineLevel="0" collapsed="false">
      <c r="C375" s="20"/>
    </row>
    <row r="376" customFormat="false" ht="15.75" hidden="false" customHeight="false" outlineLevel="0" collapsed="false">
      <c r="C376" s="20"/>
    </row>
    <row r="377" customFormat="false" ht="15.75" hidden="false" customHeight="false" outlineLevel="0" collapsed="false">
      <c r="C377" s="20"/>
    </row>
    <row r="378" customFormat="false" ht="15.75" hidden="false" customHeight="false" outlineLevel="0" collapsed="false">
      <c r="C378" s="20"/>
    </row>
    <row r="379" customFormat="false" ht="15.75" hidden="false" customHeight="false" outlineLevel="0" collapsed="false">
      <c r="C379" s="20"/>
    </row>
    <row r="380" customFormat="false" ht="15.75" hidden="false" customHeight="false" outlineLevel="0" collapsed="false">
      <c r="C380" s="20"/>
    </row>
    <row r="381" customFormat="false" ht="15.75" hidden="false" customHeight="false" outlineLevel="0" collapsed="false">
      <c r="C381" s="20"/>
    </row>
    <row r="382" customFormat="false" ht="15.75" hidden="false" customHeight="false" outlineLevel="0" collapsed="false">
      <c r="C382" s="20"/>
    </row>
    <row r="383" customFormat="false" ht="15.75" hidden="false" customHeight="false" outlineLevel="0" collapsed="false">
      <c r="C383" s="20"/>
    </row>
    <row r="384" customFormat="false" ht="15.75" hidden="false" customHeight="false" outlineLevel="0" collapsed="false">
      <c r="C384" s="20"/>
    </row>
    <row r="385" customFormat="false" ht="15.75" hidden="false" customHeight="false" outlineLevel="0" collapsed="false">
      <c r="C385" s="20"/>
    </row>
    <row r="386" customFormat="false" ht="15.75" hidden="false" customHeight="false" outlineLevel="0" collapsed="false">
      <c r="C386" s="20"/>
    </row>
    <row r="387" customFormat="false" ht="15.75" hidden="false" customHeight="false" outlineLevel="0" collapsed="false">
      <c r="C387" s="20"/>
    </row>
    <row r="388" customFormat="false" ht="15.75" hidden="false" customHeight="false" outlineLevel="0" collapsed="false">
      <c r="C388" s="20"/>
    </row>
    <row r="389" customFormat="false" ht="15.75" hidden="false" customHeight="false" outlineLevel="0" collapsed="false">
      <c r="C389" s="20"/>
    </row>
    <row r="390" customFormat="false" ht="15.75" hidden="false" customHeight="false" outlineLevel="0" collapsed="false">
      <c r="C390" s="20"/>
    </row>
    <row r="391" customFormat="false" ht="15.75" hidden="false" customHeight="false" outlineLevel="0" collapsed="false">
      <c r="C391" s="20"/>
    </row>
    <row r="392" customFormat="false" ht="15.75" hidden="false" customHeight="false" outlineLevel="0" collapsed="false">
      <c r="C392" s="20"/>
    </row>
    <row r="393" customFormat="false" ht="15.75" hidden="false" customHeight="false" outlineLevel="0" collapsed="false">
      <c r="C393" s="20"/>
    </row>
    <row r="394" customFormat="false" ht="15.75" hidden="false" customHeight="false" outlineLevel="0" collapsed="false">
      <c r="C394" s="20"/>
    </row>
    <row r="395" customFormat="false" ht="15.75" hidden="false" customHeight="false" outlineLevel="0" collapsed="false">
      <c r="C395" s="20"/>
    </row>
    <row r="396" customFormat="false" ht="15.75" hidden="false" customHeight="false" outlineLevel="0" collapsed="false">
      <c r="C396" s="20"/>
    </row>
    <row r="397" customFormat="false" ht="15.75" hidden="false" customHeight="false" outlineLevel="0" collapsed="false">
      <c r="C397" s="20"/>
    </row>
    <row r="398" customFormat="false" ht="15.75" hidden="false" customHeight="false" outlineLevel="0" collapsed="false">
      <c r="C398" s="20"/>
    </row>
    <row r="399" customFormat="false" ht="15.75" hidden="false" customHeight="false" outlineLevel="0" collapsed="false">
      <c r="C399" s="20"/>
    </row>
    <row r="400" customFormat="false" ht="15.75" hidden="false" customHeight="false" outlineLevel="0" collapsed="false">
      <c r="C400" s="20"/>
    </row>
    <row r="401" customFormat="false" ht="15.75" hidden="false" customHeight="false" outlineLevel="0" collapsed="false">
      <c r="C401" s="20"/>
    </row>
    <row r="402" customFormat="false" ht="15.75" hidden="false" customHeight="false" outlineLevel="0" collapsed="false">
      <c r="C402" s="20"/>
    </row>
    <row r="403" customFormat="false" ht="15.75" hidden="false" customHeight="false" outlineLevel="0" collapsed="false">
      <c r="C403" s="20"/>
    </row>
    <row r="404" customFormat="false" ht="15.75" hidden="false" customHeight="false" outlineLevel="0" collapsed="false">
      <c r="C404" s="20"/>
    </row>
    <row r="405" customFormat="false" ht="15.75" hidden="false" customHeight="false" outlineLevel="0" collapsed="false">
      <c r="C405" s="20"/>
    </row>
    <row r="406" customFormat="false" ht="15.75" hidden="false" customHeight="false" outlineLevel="0" collapsed="false">
      <c r="C406" s="20"/>
    </row>
    <row r="407" customFormat="false" ht="15.75" hidden="false" customHeight="false" outlineLevel="0" collapsed="false">
      <c r="C407" s="20"/>
    </row>
    <row r="408" customFormat="false" ht="15.75" hidden="false" customHeight="false" outlineLevel="0" collapsed="false">
      <c r="C408" s="20"/>
    </row>
    <row r="409" customFormat="false" ht="15.75" hidden="false" customHeight="false" outlineLevel="0" collapsed="false">
      <c r="C409" s="20"/>
    </row>
    <row r="410" customFormat="false" ht="15.75" hidden="false" customHeight="false" outlineLevel="0" collapsed="false">
      <c r="C410" s="20"/>
    </row>
    <row r="411" customFormat="false" ht="15.75" hidden="false" customHeight="false" outlineLevel="0" collapsed="false">
      <c r="C411" s="20"/>
    </row>
    <row r="412" customFormat="false" ht="15.75" hidden="false" customHeight="false" outlineLevel="0" collapsed="false">
      <c r="C412" s="20"/>
    </row>
    <row r="413" customFormat="false" ht="15.75" hidden="false" customHeight="false" outlineLevel="0" collapsed="false">
      <c r="C413" s="20"/>
    </row>
    <row r="414" customFormat="false" ht="15.75" hidden="false" customHeight="false" outlineLevel="0" collapsed="false">
      <c r="C414" s="20"/>
    </row>
    <row r="415" customFormat="false" ht="15.75" hidden="false" customHeight="false" outlineLevel="0" collapsed="false">
      <c r="C415" s="20"/>
    </row>
    <row r="416" customFormat="false" ht="15.75" hidden="false" customHeight="false" outlineLevel="0" collapsed="false">
      <c r="C416" s="20"/>
    </row>
    <row r="417" customFormat="false" ht="15.75" hidden="false" customHeight="false" outlineLevel="0" collapsed="false">
      <c r="C417" s="20"/>
    </row>
    <row r="418" customFormat="false" ht="15.75" hidden="false" customHeight="false" outlineLevel="0" collapsed="false">
      <c r="C418" s="20"/>
    </row>
    <row r="419" customFormat="false" ht="15.75" hidden="false" customHeight="false" outlineLevel="0" collapsed="false">
      <c r="C419" s="20"/>
    </row>
    <row r="420" customFormat="false" ht="15.75" hidden="false" customHeight="false" outlineLevel="0" collapsed="false">
      <c r="C420" s="20"/>
    </row>
    <row r="421" customFormat="false" ht="15.75" hidden="false" customHeight="false" outlineLevel="0" collapsed="false">
      <c r="C421" s="20"/>
    </row>
    <row r="422" customFormat="false" ht="15.75" hidden="false" customHeight="false" outlineLevel="0" collapsed="false">
      <c r="C422" s="20"/>
    </row>
    <row r="423" customFormat="false" ht="15.75" hidden="false" customHeight="false" outlineLevel="0" collapsed="false">
      <c r="C423" s="20"/>
    </row>
    <row r="424" customFormat="false" ht="15.75" hidden="false" customHeight="false" outlineLevel="0" collapsed="false">
      <c r="C424" s="20"/>
    </row>
    <row r="425" customFormat="false" ht="15.75" hidden="false" customHeight="false" outlineLevel="0" collapsed="false">
      <c r="C425" s="20"/>
    </row>
    <row r="426" customFormat="false" ht="15.75" hidden="false" customHeight="false" outlineLevel="0" collapsed="false">
      <c r="C426" s="20"/>
    </row>
    <row r="427" customFormat="false" ht="15.75" hidden="false" customHeight="false" outlineLevel="0" collapsed="false">
      <c r="C427" s="20"/>
    </row>
    <row r="428" customFormat="false" ht="15.75" hidden="false" customHeight="false" outlineLevel="0" collapsed="false">
      <c r="C428" s="20"/>
    </row>
    <row r="429" customFormat="false" ht="15.75" hidden="false" customHeight="false" outlineLevel="0" collapsed="false">
      <c r="C429" s="20"/>
    </row>
    <row r="430" customFormat="false" ht="15.75" hidden="false" customHeight="false" outlineLevel="0" collapsed="false">
      <c r="C430" s="20"/>
    </row>
    <row r="431" customFormat="false" ht="15.75" hidden="false" customHeight="false" outlineLevel="0" collapsed="false">
      <c r="C431" s="20"/>
    </row>
    <row r="432" customFormat="false" ht="15.75" hidden="false" customHeight="false" outlineLevel="0" collapsed="false">
      <c r="C432" s="20"/>
    </row>
    <row r="433" customFormat="false" ht="15.75" hidden="false" customHeight="false" outlineLevel="0" collapsed="false">
      <c r="C433" s="20"/>
    </row>
    <row r="434" customFormat="false" ht="15.75" hidden="false" customHeight="false" outlineLevel="0" collapsed="false">
      <c r="C434" s="20"/>
    </row>
    <row r="435" customFormat="false" ht="15.75" hidden="false" customHeight="false" outlineLevel="0" collapsed="false">
      <c r="C435" s="20"/>
    </row>
    <row r="436" customFormat="false" ht="15.75" hidden="false" customHeight="false" outlineLevel="0" collapsed="false">
      <c r="C436" s="20"/>
    </row>
    <row r="437" customFormat="false" ht="15.75" hidden="false" customHeight="false" outlineLevel="0" collapsed="false">
      <c r="C437" s="20"/>
    </row>
    <row r="438" customFormat="false" ht="15.75" hidden="false" customHeight="false" outlineLevel="0" collapsed="false">
      <c r="C438" s="20"/>
    </row>
    <row r="439" customFormat="false" ht="15.75" hidden="false" customHeight="false" outlineLevel="0" collapsed="false">
      <c r="C439" s="20"/>
    </row>
    <row r="440" customFormat="false" ht="15.75" hidden="false" customHeight="false" outlineLevel="0" collapsed="false">
      <c r="C440" s="20"/>
    </row>
    <row r="441" customFormat="false" ht="15.75" hidden="false" customHeight="false" outlineLevel="0" collapsed="false">
      <c r="C441" s="20"/>
    </row>
    <row r="442" customFormat="false" ht="15.75" hidden="false" customHeight="false" outlineLevel="0" collapsed="false">
      <c r="C442" s="20"/>
    </row>
    <row r="443" customFormat="false" ht="15.75" hidden="false" customHeight="false" outlineLevel="0" collapsed="false">
      <c r="C443" s="20"/>
    </row>
    <row r="444" customFormat="false" ht="15.75" hidden="false" customHeight="false" outlineLevel="0" collapsed="false">
      <c r="C444" s="20"/>
    </row>
    <row r="445" customFormat="false" ht="15.75" hidden="false" customHeight="false" outlineLevel="0" collapsed="false">
      <c r="C445" s="20"/>
    </row>
    <row r="446" customFormat="false" ht="15.75" hidden="false" customHeight="false" outlineLevel="0" collapsed="false">
      <c r="C446" s="20"/>
    </row>
    <row r="447" customFormat="false" ht="15.75" hidden="false" customHeight="false" outlineLevel="0" collapsed="false">
      <c r="C447" s="20"/>
    </row>
    <row r="448" customFormat="false" ht="15.75" hidden="false" customHeight="false" outlineLevel="0" collapsed="false">
      <c r="C448" s="20"/>
    </row>
    <row r="449" customFormat="false" ht="15.75" hidden="false" customHeight="false" outlineLevel="0" collapsed="false">
      <c r="C449" s="20"/>
    </row>
    <row r="450" customFormat="false" ht="15.75" hidden="false" customHeight="false" outlineLevel="0" collapsed="false">
      <c r="C450" s="20"/>
    </row>
    <row r="451" customFormat="false" ht="15.75" hidden="false" customHeight="false" outlineLevel="0" collapsed="false">
      <c r="C451" s="20"/>
    </row>
    <row r="452" customFormat="false" ht="15.75" hidden="false" customHeight="false" outlineLevel="0" collapsed="false">
      <c r="C452" s="20"/>
    </row>
    <row r="453" customFormat="false" ht="15.75" hidden="false" customHeight="false" outlineLevel="0" collapsed="false">
      <c r="C453" s="20"/>
    </row>
    <row r="454" customFormat="false" ht="15.75" hidden="false" customHeight="false" outlineLevel="0" collapsed="false">
      <c r="C454" s="20"/>
    </row>
    <row r="455" customFormat="false" ht="15.75" hidden="false" customHeight="false" outlineLevel="0" collapsed="false">
      <c r="C455" s="20"/>
    </row>
    <row r="456" customFormat="false" ht="15.75" hidden="false" customHeight="false" outlineLevel="0" collapsed="false">
      <c r="C456" s="20"/>
    </row>
    <row r="457" customFormat="false" ht="15.75" hidden="false" customHeight="false" outlineLevel="0" collapsed="false">
      <c r="C457" s="20"/>
    </row>
    <row r="458" customFormat="false" ht="15.75" hidden="false" customHeight="false" outlineLevel="0" collapsed="false">
      <c r="C458" s="20"/>
    </row>
    <row r="459" customFormat="false" ht="15.75" hidden="false" customHeight="false" outlineLevel="0" collapsed="false">
      <c r="C459" s="20"/>
    </row>
    <row r="460" customFormat="false" ht="15.75" hidden="false" customHeight="false" outlineLevel="0" collapsed="false">
      <c r="C460" s="20"/>
    </row>
    <row r="461" customFormat="false" ht="15.75" hidden="false" customHeight="false" outlineLevel="0" collapsed="false">
      <c r="C461" s="20"/>
    </row>
    <row r="462" customFormat="false" ht="15.75" hidden="false" customHeight="false" outlineLevel="0" collapsed="false">
      <c r="C462" s="20"/>
    </row>
    <row r="463" customFormat="false" ht="15.75" hidden="false" customHeight="false" outlineLevel="0" collapsed="false">
      <c r="C463" s="20"/>
    </row>
    <row r="464" customFormat="false" ht="15.75" hidden="false" customHeight="false" outlineLevel="0" collapsed="false">
      <c r="C464" s="20"/>
    </row>
    <row r="465" customFormat="false" ht="15.75" hidden="false" customHeight="false" outlineLevel="0" collapsed="false">
      <c r="C465" s="20"/>
    </row>
    <row r="466" customFormat="false" ht="15.75" hidden="false" customHeight="false" outlineLevel="0" collapsed="false">
      <c r="C466" s="20"/>
    </row>
    <row r="467" customFormat="false" ht="15.75" hidden="false" customHeight="false" outlineLevel="0" collapsed="false">
      <c r="C467" s="20"/>
    </row>
    <row r="468" customFormat="false" ht="15.75" hidden="false" customHeight="false" outlineLevel="0" collapsed="false">
      <c r="C468" s="20"/>
    </row>
    <row r="469" customFormat="false" ht="15.75" hidden="false" customHeight="false" outlineLevel="0" collapsed="false">
      <c r="C469" s="20"/>
    </row>
    <row r="470" customFormat="false" ht="15.75" hidden="false" customHeight="false" outlineLevel="0" collapsed="false">
      <c r="C470" s="20"/>
    </row>
    <row r="471" customFormat="false" ht="15.75" hidden="false" customHeight="false" outlineLevel="0" collapsed="false">
      <c r="C471" s="20"/>
    </row>
    <row r="472" customFormat="false" ht="15.75" hidden="false" customHeight="false" outlineLevel="0" collapsed="false">
      <c r="C472" s="20"/>
    </row>
    <row r="473" customFormat="false" ht="15.75" hidden="false" customHeight="false" outlineLevel="0" collapsed="false">
      <c r="C473" s="20"/>
    </row>
    <row r="474" customFormat="false" ht="15.75" hidden="false" customHeight="false" outlineLevel="0" collapsed="false">
      <c r="C474" s="20"/>
    </row>
    <row r="475" customFormat="false" ht="15.75" hidden="false" customHeight="false" outlineLevel="0" collapsed="false">
      <c r="C475" s="20"/>
    </row>
    <row r="476" customFormat="false" ht="15.75" hidden="false" customHeight="false" outlineLevel="0" collapsed="false">
      <c r="C476" s="20"/>
    </row>
    <row r="477" customFormat="false" ht="15.75" hidden="false" customHeight="false" outlineLevel="0" collapsed="false">
      <c r="C477" s="20"/>
    </row>
    <row r="478" customFormat="false" ht="15.75" hidden="false" customHeight="false" outlineLevel="0" collapsed="false">
      <c r="C478" s="20"/>
    </row>
    <row r="479" customFormat="false" ht="15.75" hidden="false" customHeight="false" outlineLevel="0" collapsed="false">
      <c r="C479" s="20"/>
    </row>
    <row r="480" customFormat="false" ht="15.75" hidden="false" customHeight="false" outlineLevel="0" collapsed="false">
      <c r="C480" s="20"/>
    </row>
    <row r="481" customFormat="false" ht="15.75" hidden="false" customHeight="false" outlineLevel="0" collapsed="false">
      <c r="C481" s="20"/>
    </row>
    <row r="482" customFormat="false" ht="15.75" hidden="false" customHeight="false" outlineLevel="0" collapsed="false">
      <c r="C482" s="20"/>
    </row>
    <row r="483" customFormat="false" ht="15.75" hidden="false" customHeight="false" outlineLevel="0" collapsed="false">
      <c r="C483" s="20"/>
    </row>
    <row r="484" customFormat="false" ht="15.75" hidden="false" customHeight="false" outlineLevel="0" collapsed="false">
      <c r="C484" s="20"/>
    </row>
    <row r="485" customFormat="false" ht="15.75" hidden="false" customHeight="false" outlineLevel="0" collapsed="false">
      <c r="C485" s="20"/>
    </row>
    <row r="486" customFormat="false" ht="15.75" hidden="false" customHeight="false" outlineLevel="0" collapsed="false">
      <c r="C486" s="20"/>
    </row>
    <row r="487" customFormat="false" ht="15.75" hidden="false" customHeight="false" outlineLevel="0" collapsed="false">
      <c r="C487" s="20"/>
    </row>
    <row r="488" customFormat="false" ht="15.75" hidden="false" customHeight="false" outlineLevel="0" collapsed="false">
      <c r="C488" s="20"/>
    </row>
    <row r="489" customFormat="false" ht="15.75" hidden="false" customHeight="false" outlineLevel="0" collapsed="false">
      <c r="C489" s="20"/>
    </row>
    <row r="490" customFormat="false" ht="15.75" hidden="false" customHeight="false" outlineLevel="0" collapsed="false">
      <c r="C490" s="20"/>
    </row>
    <row r="491" customFormat="false" ht="15.75" hidden="false" customHeight="false" outlineLevel="0" collapsed="false">
      <c r="C491" s="20"/>
    </row>
    <row r="492" customFormat="false" ht="15.75" hidden="false" customHeight="false" outlineLevel="0" collapsed="false">
      <c r="C492" s="20"/>
    </row>
    <row r="493" customFormat="false" ht="15.75" hidden="false" customHeight="false" outlineLevel="0" collapsed="false">
      <c r="C493" s="20"/>
    </row>
    <row r="494" customFormat="false" ht="15.75" hidden="false" customHeight="false" outlineLevel="0" collapsed="false">
      <c r="C494" s="20"/>
    </row>
    <row r="495" customFormat="false" ht="15.75" hidden="false" customHeight="false" outlineLevel="0" collapsed="false">
      <c r="C495" s="20"/>
    </row>
    <row r="496" customFormat="false" ht="15.75" hidden="false" customHeight="false" outlineLevel="0" collapsed="false">
      <c r="C496" s="20"/>
    </row>
    <row r="497" customFormat="false" ht="15.75" hidden="false" customHeight="false" outlineLevel="0" collapsed="false">
      <c r="C497" s="20"/>
    </row>
    <row r="498" customFormat="false" ht="15.75" hidden="false" customHeight="false" outlineLevel="0" collapsed="false">
      <c r="C498" s="20"/>
    </row>
    <row r="499" customFormat="false" ht="15.75" hidden="false" customHeight="false" outlineLevel="0" collapsed="false">
      <c r="C499" s="20"/>
    </row>
    <row r="500" customFormat="false" ht="15.75" hidden="false" customHeight="false" outlineLevel="0" collapsed="false">
      <c r="C500" s="20"/>
    </row>
    <row r="501" customFormat="false" ht="15.75" hidden="false" customHeight="false" outlineLevel="0" collapsed="false">
      <c r="C501" s="20"/>
    </row>
    <row r="502" customFormat="false" ht="15.75" hidden="false" customHeight="false" outlineLevel="0" collapsed="false">
      <c r="C502" s="20"/>
    </row>
    <row r="503" customFormat="false" ht="15.75" hidden="false" customHeight="false" outlineLevel="0" collapsed="false">
      <c r="C503" s="20"/>
    </row>
    <row r="504" customFormat="false" ht="15.75" hidden="false" customHeight="false" outlineLevel="0" collapsed="false">
      <c r="C504" s="20"/>
    </row>
    <row r="505" customFormat="false" ht="15.75" hidden="false" customHeight="false" outlineLevel="0" collapsed="false">
      <c r="C505" s="20"/>
    </row>
    <row r="506" customFormat="false" ht="15.75" hidden="false" customHeight="false" outlineLevel="0" collapsed="false">
      <c r="C506" s="20"/>
    </row>
    <row r="507" customFormat="false" ht="15.75" hidden="false" customHeight="false" outlineLevel="0" collapsed="false">
      <c r="C507" s="20"/>
    </row>
    <row r="508" customFormat="false" ht="15.75" hidden="false" customHeight="false" outlineLevel="0" collapsed="false">
      <c r="C508" s="20"/>
    </row>
    <row r="509" customFormat="false" ht="15.75" hidden="false" customHeight="false" outlineLevel="0" collapsed="false">
      <c r="C509" s="20"/>
    </row>
    <row r="510" customFormat="false" ht="15.75" hidden="false" customHeight="false" outlineLevel="0" collapsed="false">
      <c r="C510" s="20"/>
    </row>
    <row r="511" customFormat="false" ht="15.75" hidden="false" customHeight="false" outlineLevel="0" collapsed="false">
      <c r="C511" s="20"/>
    </row>
    <row r="512" customFormat="false" ht="15.75" hidden="false" customHeight="false" outlineLevel="0" collapsed="false">
      <c r="C512" s="20"/>
    </row>
    <row r="513" customFormat="false" ht="15.75" hidden="false" customHeight="false" outlineLevel="0" collapsed="false">
      <c r="C513" s="20"/>
    </row>
    <row r="514" customFormat="false" ht="15.75" hidden="false" customHeight="false" outlineLevel="0" collapsed="false">
      <c r="C514" s="20"/>
    </row>
    <row r="515" customFormat="false" ht="15.75" hidden="false" customHeight="false" outlineLevel="0" collapsed="false">
      <c r="C515" s="20"/>
    </row>
    <row r="516" customFormat="false" ht="15.75" hidden="false" customHeight="false" outlineLevel="0" collapsed="false">
      <c r="C516" s="20"/>
    </row>
    <row r="517" customFormat="false" ht="15.75" hidden="false" customHeight="false" outlineLevel="0" collapsed="false">
      <c r="C517" s="20"/>
    </row>
    <row r="518" customFormat="false" ht="15.75" hidden="false" customHeight="false" outlineLevel="0" collapsed="false">
      <c r="C518" s="20"/>
    </row>
    <row r="519" customFormat="false" ht="15.75" hidden="false" customHeight="false" outlineLevel="0" collapsed="false">
      <c r="C519" s="20"/>
    </row>
    <row r="520" customFormat="false" ht="15.75" hidden="false" customHeight="false" outlineLevel="0" collapsed="false">
      <c r="C520" s="20"/>
    </row>
    <row r="521" customFormat="false" ht="15.75" hidden="false" customHeight="false" outlineLevel="0" collapsed="false">
      <c r="C521" s="20"/>
    </row>
    <row r="522" customFormat="false" ht="15.75" hidden="false" customHeight="false" outlineLevel="0" collapsed="false">
      <c r="C522" s="20"/>
    </row>
    <row r="523" customFormat="false" ht="15.75" hidden="false" customHeight="false" outlineLevel="0" collapsed="false">
      <c r="C523" s="20"/>
    </row>
    <row r="524" customFormat="false" ht="15.75" hidden="false" customHeight="false" outlineLevel="0" collapsed="false">
      <c r="C524" s="20"/>
    </row>
    <row r="525" customFormat="false" ht="15.75" hidden="false" customHeight="false" outlineLevel="0" collapsed="false">
      <c r="C525" s="20"/>
    </row>
    <row r="526" customFormat="false" ht="15.75" hidden="false" customHeight="false" outlineLevel="0" collapsed="false">
      <c r="C526" s="20"/>
    </row>
    <row r="527" customFormat="false" ht="15.75" hidden="false" customHeight="false" outlineLevel="0" collapsed="false">
      <c r="C527" s="20"/>
    </row>
    <row r="528" customFormat="false" ht="15.75" hidden="false" customHeight="false" outlineLevel="0" collapsed="false">
      <c r="C528" s="20"/>
    </row>
    <row r="529" customFormat="false" ht="15.75" hidden="false" customHeight="false" outlineLevel="0" collapsed="false">
      <c r="C529" s="20"/>
    </row>
    <row r="530" customFormat="false" ht="15.75" hidden="false" customHeight="false" outlineLevel="0" collapsed="false">
      <c r="C530" s="20"/>
    </row>
    <row r="531" customFormat="false" ht="15.75" hidden="false" customHeight="false" outlineLevel="0" collapsed="false">
      <c r="C531" s="20"/>
    </row>
    <row r="532" customFormat="false" ht="15.75" hidden="false" customHeight="false" outlineLevel="0" collapsed="false">
      <c r="C532" s="20"/>
    </row>
    <row r="533" customFormat="false" ht="15.75" hidden="false" customHeight="false" outlineLevel="0" collapsed="false">
      <c r="C533" s="20"/>
    </row>
    <row r="534" customFormat="false" ht="15.75" hidden="false" customHeight="false" outlineLevel="0" collapsed="false">
      <c r="C534" s="20"/>
    </row>
    <row r="535" customFormat="false" ht="15.75" hidden="false" customHeight="false" outlineLevel="0" collapsed="false">
      <c r="C535" s="20"/>
    </row>
    <row r="536" customFormat="false" ht="15.75" hidden="false" customHeight="false" outlineLevel="0" collapsed="false">
      <c r="C536" s="20"/>
    </row>
    <row r="537" customFormat="false" ht="15.75" hidden="false" customHeight="false" outlineLevel="0" collapsed="false">
      <c r="C537" s="20"/>
    </row>
    <row r="538" customFormat="false" ht="15.75" hidden="false" customHeight="false" outlineLevel="0" collapsed="false">
      <c r="C538" s="20"/>
    </row>
    <row r="539" customFormat="false" ht="15.75" hidden="false" customHeight="false" outlineLevel="0" collapsed="false">
      <c r="C539" s="20"/>
    </row>
    <row r="540" customFormat="false" ht="15.75" hidden="false" customHeight="false" outlineLevel="0" collapsed="false">
      <c r="C540" s="20"/>
    </row>
    <row r="541" customFormat="false" ht="15.75" hidden="false" customHeight="false" outlineLevel="0" collapsed="false">
      <c r="C541" s="20"/>
    </row>
    <row r="542" customFormat="false" ht="15.75" hidden="false" customHeight="false" outlineLevel="0" collapsed="false">
      <c r="C542" s="20"/>
    </row>
    <row r="543" customFormat="false" ht="15.75" hidden="false" customHeight="false" outlineLevel="0" collapsed="false">
      <c r="C543" s="20"/>
    </row>
    <row r="544" customFormat="false" ht="15.75" hidden="false" customHeight="false" outlineLevel="0" collapsed="false">
      <c r="C544" s="20"/>
    </row>
    <row r="545" customFormat="false" ht="15.75" hidden="false" customHeight="false" outlineLevel="0" collapsed="false">
      <c r="C545" s="20"/>
    </row>
    <row r="546" customFormat="false" ht="15.75" hidden="false" customHeight="false" outlineLevel="0" collapsed="false">
      <c r="C546" s="20"/>
    </row>
    <row r="547" customFormat="false" ht="15.75" hidden="false" customHeight="false" outlineLevel="0" collapsed="false">
      <c r="C547" s="20"/>
    </row>
    <row r="548" customFormat="false" ht="15.75" hidden="false" customHeight="false" outlineLevel="0" collapsed="false">
      <c r="C548" s="20"/>
    </row>
    <row r="549" customFormat="false" ht="15.75" hidden="false" customHeight="false" outlineLevel="0" collapsed="false">
      <c r="C549" s="20"/>
    </row>
    <row r="550" customFormat="false" ht="15.75" hidden="false" customHeight="false" outlineLevel="0" collapsed="false">
      <c r="C550" s="20"/>
    </row>
    <row r="551" customFormat="false" ht="15.75" hidden="false" customHeight="false" outlineLevel="0" collapsed="false">
      <c r="C551" s="20"/>
    </row>
    <row r="552" customFormat="false" ht="15.75" hidden="false" customHeight="false" outlineLevel="0" collapsed="false">
      <c r="C552" s="20"/>
    </row>
    <row r="553" customFormat="false" ht="15.75" hidden="false" customHeight="false" outlineLevel="0" collapsed="false">
      <c r="C553" s="20"/>
    </row>
    <row r="554" customFormat="false" ht="15.75" hidden="false" customHeight="false" outlineLevel="0" collapsed="false">
      <c r="C554" s="20"/>
    </row>
    <row r="555" customFormat="false" ht="15.75" hidden="false" customHeight="false" outlineLevel="0" collapsed="false">
      <c r="C555" s="20"/>
    </row>
    <row r="556" customFormat="false" ht="15.75" hidden="false" customHeight="false" outlineLevel="0" collapsed="false">
      <c r="C556" s="20"/>
    </row>
    <row r="557" customFormat="false" ht="15.75" hidden="false" customHeight="false" outlineLevel="0" collapsed="false">
      <c r="C557" s="20"/>
    </row>
    <row r="558" customFormat="false" ht="15.75" hidden="false" customHeight="false" outlineLevel="0" collapsed="false">
      <c r="C558" s="20"/>
    </row>
    <row r="559" customFormat="false" ht="15.75" hidden="false" customHeight="false" outlineLevel="0" collapsed="false">
      <c r="C559" s="20"/>
    </row>
    <row r="560" customFormat="false" ht="15.75" hidden="false" customHeight="false" outlineLevel="0" collapsed="false">
      <c r="C560" s="20"/>
    </row>
    <row r="561" customFormat="false" ht="15.75" hidden="false" customHeight="false" outlineLevel="0" collapsed="false">
      <c r="C561" s="20"/>
    </row>
    <row r="562" customFormat="false" ht="15.75" hidden="false" customHeight="false" outlineLevel="0" collapsed="false">
      <c r="C562" s="20"/>
    </row>
    <row r="563" customFormat="false" ht="15.75" hidden="false" customHeight="false" outlineLevel="0" collapsed="false">
      <c r="C563" s="20"/>
    </row>
    <row r="564" customFormat="false" ht="15.75" hidden="false" customHeight="false" outlineLevel="0" collapsed="false">
      <c r="C564" s="20"/>
    </row>
    <row r="565" customFormat="false" ht="15.75" hidden="false" customHeight="false" outlineLevel="0" collapsed="false">
      <c r="C565" s="20"/>
    </row>
    <row r="566" customFormat="false" ht="15.75" hidden="false" customHeight="false" outlineLevel="0" collapsed="false">
      <c r="C566" s="20"/>
    </row>
    <row r="567" customFormat="false" ht="15.75" hidden="false" customHeight="false" outlineLevel="0" collapsed="false">
      <c r="C567" s="20"/>
    </row>
    <row r="568" customFormat="false" ht="15.75" hidden="false" customHeight="false" outlineLevel="0" collapsed="false">
      <c r="C568" s="20"/>
    </row>
    <row r="569" customFormat="false" ht="15.75" hidden="false" customHeight="false" outlineLevel="0" collapsed="false">
      <c r="C569" s="20"/>
    </row>
    <row r="570" customFormat="false" ht="15.75" hidden="false" customHeight="false" outlineLevel="0" collapsed="false">
      <c r="C570" s="20"/>
    </row>
    <row r="571" customFormat="false" ht="15.75" hidden="false" customHeight="false" outlineLevel="0" collapsed="false">
      <c r="C571" s="20"/>
    </row>
    <row r="572" customFormat="false" ht="15.75" hidden="false" customHeight="false" outlineLevel="0" collapsed="false">
      <c r="C572" s="20"/>
    </row>
    <row r="573" customFormat="false" ht="15.75" hidden="false" customHeight="false" outlineLevel="0" collapsed="false">
      <c r="C573" s="20"/>
    </row>
    <row r="574" customFormat="false" ht="15.75" hidden="false" customHeight="false" outlineLevel="0" collapsed="false">
      <c r="C574" s="20"/>
    </row>
    <row r="575" customFormat="false" ht="15.75" hidden="false" customHeight="false" outlineLevel="0" collapsed="false">
      <c r="C575" s="20"/>
    </row>
    <row r="576" customFormat="false" ht="15.75" hidden="false" customHeight="false" outlineLevel="0" collapsed="false">
      <c r="C576" s="20"/>
    </row>
    <row r="577" customFormat="false" ht="15.75" hidden="false" customHeight="false" outlineLevel="0" collapsed="false">
      <c r="C577" s="20"/>
    </row>
    <row r="578" customFormat="false" ht="15.75" hidden="false" customHeight="false" outlineLevel="0" collapsed="false">
      <c r="C578" s="20"/>
    </row>
    <row r="579" customFormat="false" ht="15.75" hidden="false" customHeight="false" outlineLevel="0" collapsed="false">
      <c r="C579" s="20"/>
    </row>
    <row r="580" customFormat="false" ht="15.75" hidden="false" customHeight="false" outlineLevel="0" collapsed="false">
      <c r="C580" s="20"/>
    </row>
    <row r="581" customFormat="false" ht="15.75" hidden="false" customHeight="false" outlineLevel="0" collapsed="false">
      <c r="C581" s="20"/>
    </row>
    <row r="582" customFormat="false" ht="15.75" hidden="false" customHeight="false" outlineLevel="0" collapsed="false">
      <c r="C582" s="20"/>
    </row>
    <row r="583" customFormat="false" ht="15.75" hidden="false" customHeight="false" outlineLevel="0" collapsed="false">
      <c r="C583" s="20"/>
    </row>
    <row r="584" customFormat="false" ht="15.75" hidden="false" customHeight="false" outlineLevel="0" collapsed="false">
      <c r="C584" s="20"/>
    </row>
    <row r="585" customFormat="false" ht="15.75" hidden="false" customHeight="false" outlineLevel="0" collapsed="false">
      <c r="C585" s="20"/>
    </row>
    <row r="586" customFormat="false" ht="15.75" hidden="false" customHeight="false" outlineLevel="0" collapsed="false">
      <c r="C586" s="20"/>
    </row>
    <row r="587" customFormat="false" ht="15.75" hidden="false" customHeight="false" outlineLevel="0" collapsed="false">
      <c r="C587" s="20"/>
    </row>
    <row r="588" customFormat="false" ht="15.75" hidden="false" customHeight="false" outlineLevel="0" collapsed="false">
      <c r="C588" s="20"/>
    </row>
    <row r="589" customFormat="false" ht="15.75" hidden="false" customHeight="false" outlineLevel="0" collapsed="false">
      <c r="C589" s="20"/>
    </row>
    <row r="590" customFormat="false" ht="15.75" hidden="false" customHeight="false" outlineLevel="0" collapsed="false">
      <c r="C590" s="20"/>
    </row>
    <row r="591" customFormat="false" ht="15.75" hidden="false" customHeight="false" outlineLevel="0" collapsed="false">
      <c r="C591" s="20"/>
    </row>
    <row r="592" customFormat="false" ht="15.75" hidden="false" customHeight="false" outlineLevel="0" collapsed="false">
      <c r="C592" s="20"/>
    </row>
    <row r="593" customFormat="false" ht="15.75" hidden="false" customHeight="false" outlineLevel="0" collapsed="false">
      <c r="C593" s="20"/>
    </row>
    <row r="594" customFormat="false" ht="15.75" hidden="false" customHeight="false" outlineLevel="0" collapsed="false">
      <c r="C594" s="20"/>
    </row>
    <row r="595" customFormat="false" ht="15.75" hidden="false" customHeight="false" outlineLevel="0" collapsed="false">
      <c r="C595" s="20"/>
    </row>
    <row r="596" customFormat="false" ht="15.75" hidden="false" customHeight="false" outlineLevel="0" collapsed="false">
      <c r="C596" s="20"/>
    </row>
    <row r="597" customFormat="false" ht="15.75" hidden="false" customHeight="false" outlineLevel="0" collapsed="false">
      <c r="C597" s="20"/>
    </row>
    <row r="598" customFormat="false" ht="15.75" hidden="false" customHeight="false" outlineLevel="0" collapsed="false">
      <c r="C598" s="20"/>
    </row>
    <row r="599" customFormat="false" ht="15.75" hidden="false" customHeight="false" outlineLevel="0" collapsed="false">
      <c r="C599" s="20"/>
    </row>
    <row r="600" customFormat="false" ht="15.75" hidden="false" customHeight="false" outlineLevel="0" collapsed="false">
      <c r="C600" s="20"/>
    </row>
    <row r="601" customFormat="false" ht="15.75" hidden="false" customHeight="false" outlineLevel="0" collapsed="false">
      <c r="C601" s="20"/>
    </row>
    <row r="602" customFormat="false" ht="15.75" hidden="false" customHeight="false" outlineLevel="0" collapsed="false">
      <c r="C602" s="20"/>
    </row>
    <row r="603" customFormat="false" ht="15.75" hidden="false" customHeight="false" outlineLevel="0" collapsed="false">
      <c r="C603" s="20"/>
    </row>
    <row r="604" customFormat="false" ht="15.75" hidden="false" customHeight="false" outlineLevel="0" collapsed="false">
      <c r="C604" s="20"/>
    </row>
    <row r="605" customFormat="false" ht="15.75" hidden="false" customHeight="false" outlineLevel="0" collapsed="false">
      <c r="C605" s="20"/>
    </row>
    <row r="606" customFormat="false" ht="15.75" hidden="false" customHeight="false" outlineLevel="0" collapsed="false">
      <c r="C606" s="20"/>
    </row>
    <row r="607" customFormat="false" ht="15.75" hidden="false" customHeight="false" outlineLevel="0" collapsed="false">
      <c r="C607" s="20"/>
    </row>
    <row r="608" customFormat="false" ht="15.75" hidden="false" customHeight="false" outlineLevel="0" collapsed="false">
      <c r="C608" s="20"/>
    </row>
    <row r="609" customFormat="false" ht="15.75" hidden="false" customHeight="false" outlineLevel="0" collapsed="false">
      <c r="C609" s="20"/>
    </row>
    <row r="610" customFormat="false" ht="15.75" hidden="false" customHeight="false" outlineLevel="0" collapsed="false">
      <c r="C610" s="20"/>
    </row>
    <row r="611" customFormat="false" ht="15.75" hidden="false" customHeight="false" outlineLevel="0" collapsed="false">
      <c r="C611" s="20"/>
    </row>
    <row r="612" customFormat="false" ht="15.75" hidden="false" customHeight="false" outlineLevel="0" collapsed="false">
      <c r="C612" s="20"/>
    </row>
    <row r="613" customFormat="false" ht="15.75" hidden="false" customHeight="false" outlineLevel="0" collapsed="false">
      <c r="C613" s="20"/>
    </row>
    <row r="614" customFormat="false" ht="15.75" hidden="false" customHeight="false" outlineLevel="0" collapsed="false">
      <c r="C614" s="20"/>
    </row>
    <row r="615" customFormat="false" ht="15.75" hidden="false" customHeight="false" outlineLevel="0" collapsed="false">
      <c r="C615" s="20"/>
    </row>
    <row r="616" customFormat="false" ht="15.75" hidden="false" customHeight="false" outlineLevel="0" collapsed="false">
      <c r="C616" s="20"/>
    </row>
    <row r="617" customFormat="false" ht="15.75" hidden="false" customHeight="false" outlineLevel="0" collapsed="false">
      <c r="C617" s="20"/>
    </row>
    <row r="618" customFormat="false" ht="15.75" hidden="false" customHeight="false" outlineLevel="0" collapsed="false">
      <c r="C618" s="20"/>
    </row>
    <row r="619" customFormat="false" ht="15.75" hidden="false" customHeight="false" outlineLevel="0" collapsed="false">
      <c r="C619" s="20"/>
    </row>
    <row r="620" customFormat="false" ht="15.75" hidden="false" customHeight="false" outlineLevel="0" collapsed="false">
      <c r="C620" s="20"/>
    </row>
    <row r="621" customFormat="false" ht="15.75" hidden="false" customHeight="false" outlineLevel="0" collapsed="false">
      <c r="C621" s="20"/>
    </row>
    <row r="622" customFormat="false" ht="15.75" hidden="false" customHeight="false" outlineLevel="0" collapsed="false">
      <c r="C622" s="20"/>
    </row>
    <row r="623" customFormat="false" ht="15.75" hidden="false" customHeight="false" outlineLevel="0" collapsed="false">
      <c r="C623" s="20"/>
    </row>
    <row r="624" customFormat="false" ht="15.75" hidden="false" customHeight="false" outlineLevel="0" collapsed="false">
      <c r="C624" s="20"/>
    </row>
    <row r="625" customFormat="false" ht="15.75" hidden="false" customHeight="false" outlineLevel="0" collapsed="false">
      <c r="C625" s="20"/>
    </row>
    <row r="626" customFormat="false" ht="15.75" hidden="false" customHeight="false" outlineLevel="0" collapsed="false">
      <c r="C626" s="20"/>
    </row>
    <row r="627" customFormat="false" ht="15.75" hidden="false" customHeight="false" outlineLevel="0" collapsed="false">
      <c r="C627" s="20"/>
    </row>
    <row r="628" customFormat="false" ht="15.75" hidden="false" customHeight="false" outlineLevel="0" collapsed="false">
      <c r="C628" s="20"/>
    </row>
    <row r="629" customFormat="false" ht="15.75" hidden="false" customHeight="false" outlineLevel="0" collapsed="false">
      <c r="C629" s="20"/>
    </row>
    <row r="630" customFormat="false" ht="15.75" hidden="false" customHeight="false" outlineLevel="0" collapsed="false">
      <c r="C630" s="20"/>
    </row>
    <row r="631" customFormat="false" ht="15.75" hidden="false" customHeight="false" outlineLevel="0" collapsed="false">
      <c r="C631" s="20"/>
    </row>
    <row r="632" customFormat="false" ht="15.75" hidden="false" customHeight="false" outlineLevel="0" collapsed="false">
      <c r="C632" s="20"/>
    </row>
    <row r="633" customFormat="false" ht="15.75" hidden="false" customHeight="false" outlineLevel="0" collapsed="false">
      <c r="C633" s="20"/>
    </row>
    <row r="634" customFormat="false" ht="15.75" hidden="false" customHeight="false" outlineLevel="0" collapsed="false">
      <c r="C634" s="20"/>
    </row>
    <row r="635" customFormat="false" ht="15.75" hidden="false" customHeight="false" outlineLevel="0" collapsed="false">
      <c r="C635" s="20"/>
    </row>
    <row r="636" customFormat="false" ht="15.75" hidden="false" customHeight="false" outlineLevel="0" collapsed="false">
      <c r="C636" s="20"/>
    </row>
    <row r="637" customFormat="false" ht="15.75" hidden="false" customHeight="false" outlineLevel="0" collapsed="false">
      <c r="C637" s="20"/>
    </row>
    <row r="638" customFormat="false" ht="15.75" hidden="false" customHeight="false" outlineLevel="0" collapsed="false">
      <c r="C638" s="20"/>
    </row>
    <row r="639" customFormat="false" ht="15.75" hidden="false" customHeight="false" outlineLevel="0" collapsed="false">
      <c r="C639" s="20"/>
    </row>
    <row r="640" customFormat="false" ht="15.75" hidden="false" customHeight="false" outlineLevel="0" collapsed="false">
      <c r="C640" s="20"/>
    </row>
    <row r="641" customFormat="false" ht="15.75" hidden="false" customHeight="false" outlineLevel="0" collapsed="false">
      <c r="C641" s="20"/>
    </row>
    <row r="642" customFormat="false" ht="15.75" hidden="false" customHeight="false" outlineLevel="0" collapsed="false">
      <c r="C642" s="20"/>
    </row>
    <row r="643" customFormat="false" ht="15.75" hidden="false" customHeight="false" outlineLevel="0" collapsed="false">
      <c r="C643" s="20"/>
    </row>
    <row r="644" customFormat="false" ht="15.75" hidden="false" customHeight="false" outlineLevel="0" collapsed="false">
      <c r="C644" s="20"/>
    </row>
    <row r="645" customFormat="false" ht="15.75" hidden="false" customHeight="false" outlineLevel="0" collapsed="false">
      <c r="C645" s="20"/>
    </row>
    <row r="646" customFormat="false" ht="15.75" hidden="false" customHeight="false" outlineLevel="0" collapsed="false">
      <c r="C646" s="20"/>
    </row>
    <row r="647" customFormat="false" ht="15.75" hidden="false" customHeight="false" outlineLevel="0" collapsed="false">
      <c r="C647" s="20"/>
    </row>
    <row r="648" customFormat="false" ht="15.75" hidden="false" customHeight="false" outlineLevel="0" collapsed="false">
      <c r="C648" s="20"/>
    </row>
    <row r="649" customFormat="false" ht="15.75" hidden="false" customHeight="false" outlineLevel="0" collapsed="false">
      <c r="C649" s="20"/>
    </row>
    <row r="650" customFormat="false" ht="15.75" hidden="false" customHeight="false" outlineLevel="0" collapsed="false">
      <c r="C650" s="20"/>
    </row>
    <row r="651" customFormat="false" ht="15.75" hidden="false" customHeight="false" outlineLevel="0" collapsed="false">
      <c r="C651" s="20"/>
    </row>
    <row r="652" customFormat="false" ht="15.75" hidden="false" customHeight="false" outlineLevel="0" collapsed="false">
      <c r="C652" s="20"/>
    </row>
    <row r="653" customFormat="false" ht="15.75" hidden="false" customHeight="false" outlineLevel="0" collapsed="false">
      <c r="C653" s="20"/>
    </row>
    <row r="654" customFormat="false" ht="15.75" hidden="false" customHeight="false" outlineLevel="0" collapsed="false">
      <c r="C654" s="20"/>
    </row>
    <row r="655" customFormat="false" ht="15.75" hidden="false" customHeight="false" outlineLevel="0" collapsed="false">
      <c r="C655" s="20"/>
    </row>
    <row r="656" customFormat="false" ht="15.75" hidden="false" customHeight="false" outlineLevel="0" collapsed="false">
      <c r="C656" s="20"/>
    </row>
    <row r="657" customFormat="false" ht="15.75" hidden="false" customHeight="false" outlineLevel="0" collapsed="false">
      <c r="C657" s="20"/>
    </row>
    <row r="658" customFormat="false" ht="15.75" hidden="false" customHeight="false" outlineLevel="0" collapsed="false">
      <c r="C658" s="20"/>
    </row>
    <row r="659" customFormat="false" ht="15.75" hidden="false" customHeight="false" outlineLevel="0" collapsed="false">
      <c r="C659" s="20"/>
    </row>
    <row r="660" customFormat="false" ht="15.75" hidden="false" customHeight="false" outlineLevel="0" collapsed="false">
      <c r="C660" s="20"/>
    </row>
    <row r="661" customFormat="false" ht="15.75" hidden="false" customHeight="false" outlineLevel="0" collapsed="false">
      <c r="C661" s="20"/>
    </row>
    <row r="662" customFormat="false" ht="15.75" hidden="false" customHeight="false" outlineLevel="0" collapsed="false">
      <c r="C662" s="20"/>
    </row>
    <row r="663" customFormat="false" ht="15.75" hidden="false" customHeight="false" outlineLevel="0" collapsed="false">
      <c r="C663" s="20"/>
    </row>
    <row r="664" customFormat="false" ht="15.75" hidden="false" customHeight="false" outlineLevel="0" collapsed="false">
      <c r="C664" s="20"/>
    </row>
    <row r="665" customFormat="false" ht="15.75" hidden="false" customHeight="false" outlineLevel="0" collapsed="false">
      <c r="C665" s="20"/>
    </row>
    <row r="666" customFormat="false" ht="15.75" hidden="false" customHeight="false" outlineLevel="0" collapsed="false">
      <c r="C666" s="20"/>
    </row>
    <row r="667" customFormat="false" ht="15.75" hidden="false" customHeight="false" outlineLevel="0" collapsed="false">
      <c r="C667" s="20"/>
    </row>
    <row r="668" customFormat="false" ht="15.75" hidden="false" customHeight="false" outlineLevel="0" collapsed="false">
      <c r="C668" s="20"/>
    </row>
    <row r="669" customFormat="false" ht="15.75" hidden="false" customHeight="false" outlineLevel="0" collapsed="false">
      <c r="C669" s="20"/>
    </row>
    <row r="670" customFormat="false" ht="15.75" hidden="false" customHeight="false" outlineLevel="0" collapsed="false">
      <c r="C670" s="20"/>
    </row>
    <row r="671" customFormat="false" ht="15.75" hidden="false" customHeight="false" outlineLevel="0" collapsed="false">
      <c r="C671" s="20"/>
    </row>
    <row r="672" customFormat="false" ht="15.75" hidden="false" customHeight="false" outlineLevel="0" collapsed="false">
      <c r="C672" s="20"/>
    </row>
    <row r="673" customFormat="false" ht="15.75" hidden="false" customHeight="false" outlineLevel="0" collapsed="false">
      <c r="C673" s="20"/>
    </row>
    <row r="674" customFormat="false" ht="15.75" hidden="false" customHeight="false" outlineLevel="0" collapsed="false">
      <c r="C674" s="20"/>
    </row>
    <row r="675" customFormat="false" ht="15.75" hidden="false" customHeight="false" outlineLevel="0" collapsed="false">
      <c r="C675" s="20"/>
    </row>
    <row r="676" customFormat="false" ht="15.75" hidden="false" customHeight="false" outlineLevel="0" collapsed="false">
      <c r="C676" s="20"/>
    </row>
    <row r="677" customFormat="false" ht="15.75" hidden="false" customHeight="false" outlineLevel="0" collapsed="false">
      <c r="C677" s="20"/>
    </row>
    <row r="678" customFormat="false" ht="15.75" hidden="false" customHeight="false" outlineLevel="0" collapsed="false">
      <c r="C678" s="20"/>
    </row>
    <row r="679" customFormat="false" ht="15.75" hidden="false" customHeight="false" outlineLevel="0" collapsed="false">
      <c r="C679" s="20"/>
    </row>
    <row r="680" customFormat="false" ht="15.75" hidden="false" customHeight="false" outlineLevel="0" collapsed="false">
      <c r="C680" s="20"/>
    </row>
    <row r="681" customFormat="false" ht="15.75" hidden="false" customHeight="false" outlineLevel="0" collapsed="false">
      <c r="C681" s="20"/>
    </row>
    <row r="682" customFormat="false" ht="15.75" hidden="false" customHeight="false" outlineLevel="0" collapsed="false">
      <c r="C682" s="20"/>
    </row>
    <row r="683" customFormat="false" ht="15.75" hidden="false" customHeight="false" outlineLevel="0" collapsed="false">
      <c r="C683" s="20"/>
    </row>
    <row r="684" customFormat="false" ht="15.75" hidden="false" customHeight="false" outlineLevel="0" collapsed="false">
      <c r="C684" s="20"/>
    </row>
    <row r="685" customFormat="false" ht="15.75" hidden="false" customHeight="false" outlineLevel="0" collapsed="false">
      <c r="C685" s="20"/>
    </row>
    <row r="686" customFormat="false" ht="15.75" hidden="false" customHeight="false" outlineLevel="0" collapsed="false">
      <c r="C686" s="20"/>
    </row>
    <row r="687" customFormat="false" ht="15.75" hidden="false" customHeight="false" outlineLevel="0" collapsed="false">
      <c r="C687" s="20"/>
    </row>
    <row r="688" customFormat="false" ht="15.75" hidden="false" customHeight="false" outlineLevel="0" collapsed="false">
      <c r="C688" s="20"/>
    </row>
    <row r="689" customFormat="false" ht="15.75" hidden="false" customHeight="false" outlineLevel="0" collapsed="false">
      <c r="C689" s="20"/>
    </row>
    <row r="690" customFormat="false" ht="15.75" hidden="false" customHeight="false" outlineLevel="0" collapsed="false">
      <c r="C690" s="20"/>
    </row>
    <row r="691" customFormat="false" ht="15.75" hidden="false" customHeight="false" outlineLevel="0" collapsed="false">
      <c r="C691" s="20"/>
    </row>
    <row r="692" customFormat="false" ht="15.75" hidden="false" customHeight="false" outlineLevel="0" collapsed="false">
      <c r="C692" s="20"/>
    </row>
    <row r="693" customFormat="false" ht="15.75" hidden="false" customHeight="false" outlineLevel="0" collapsed="false">
      <c r="C693" s="20"/>
    </row>
    <row r="694" customFormat="false" ht="15.75" hidden="false" customHeight="false" outlineLevel="0" collapsed="false">
      <c r="C694" s="20"/>
    </row>
    <row r="695" customFormat="false" ht="15.75" hidden="false" customHeight="false" outlineLevel="0" collapsed="false">
      <c r="C695" s="20"/>
    </row>
    <row r="696" customFormat="false" ht="15.75" hidden="false" customHeight="false" outlineLevel="0" collapsed="false">
      <c r="C696" s="20"/>
    </row>
    <row r="697" customFormat="false" ht="15.75" hidden="false" customHeight="false" outlineLevel="0" collapsed="false">
      <c r="C697" s="20"/>
    </row>
    <row r="698" customFormat="false" ht="15.75" hidden="false" customHeight="false" outlineLevel="0" collapsed="false">
      <c r="C698" s="20"/>
    </row>
    <row r="699" customFormat="false" ht="15.75" hidden="false" customHeight="false" outlineLevel="0" collapsed="false">
      <c r="C699" s="20"/>
    </row>
    <row r="700" customFormat="false" ht="15.75" hidden="false" customHeight="false" outlineLevel="0" collapsed="false">
      <c r="C700" s="20"/>
    </row>
    <row r="701" customFormat="false" ht="15.75" hidden="false" customHeight="false" outlineLevel="0" collapsed="false">
      <c r="C701" s="20"/>
    </row>
    <row r="702" customFormat="false" ht="15.75" hidden="false" customHeight="false" outlineLevel="0" collapsed="false">
      <c r="C702" s="20"/>
    </row>
    <row r="703" customFormat="false" ht="15.75" hidden="false" customHeight="false" outlineLevel="0" collapsed="false">
      <c r="C703" s="20"/>
    </row>
    <row r="704" customFormat="false" ht="15.75" hidden="false" customHeight="false" outlineLevel="0" collapsed="false">
      <c r="C704" s="20"/>
    </row>
    <row r="705" customFormat="false" ht="15.75" hidden="false" customHeight="false" outlineLevel="0" collapsed="false">
      <c r="C705" s="20"/>
    </row>
    <row r="706" customFormat="false" ht="15.75" hidden="false" customHeight="false" outlineLevel="0" collapsed="false">
      <c r="C706" s="20"/>
    </row>
    <row r="707" customFormat="false" ht="15.75" hidden="false" customHeight="false" outlineLevel="0" collapsed="false">
      <c r="C707" s="20"/>
    </row>
    <row r="708" customFormat="false" ht="15.75" hidden="false" customHeight="false" outlineLevel="0" collapsed="false">
      <c r="C708" s="20"/>
    </row>
    <row r="709" customFormat="false" ht="15.75" hidden="false" customHeight="false" outlineLevel="0" collapsed="false">
      <c r="C709" s="20"/>
    </row>
    <row r="710" customFormat="false" ht="15.75" hidden="false" customHeight="false" outlineLevel="0" collapsed="false">
      <c r="C710" s="20"/>
    </row>
    <row r="711" customFormat="false" ht="15.75" hidden="false" customHeight="false" outlineLevel="0" collapsed="false">
      <c r="C711" s="20"/>
    </row>
    <row r="712" customFormat="false" ht="15.75" hidden="false" customHeight="false" outlineLevel="0" collapsed="false">
      <c r="C712" s="20"/>
    </row>
    <row r="713" customFormat="false" ht="15.75" hidden="false" customHeight="false" outlineLevel="0" collapsed="false">
      <c r="C713" s="20"/>
    </row>
    <row r="714" customFormat="false" ht="15.75" hidden="false" customHeight="false" outlineLevel="0" collapsed="false">
      <c r="C714" s="20"/>
    </row>
    <row r="715" customFormat="false" ht="15.75" hidden="false" customHeight="false" outlineLevel="0" collapsed="false">
      <c r="C715" s="20"/>
    </row>
    <row r="716" customFormat="false" ht="15.75" hidden="false" customHeight="false" outlineLevel="0" collapsed="false">
      <c r="C716" s="20"/>
    </row>
    <row r="717" customFormat="false" ht="15.75" hidden="false" customHeight="false" outlineLevel="0" collapsed="false">
      <c r="C717" s="20"/>
    </row>
    <row r="718" customFormat="false" ht="15.75" hidden="false" customHeight="false" outlineLevel="0" collapsed="false">
      <c r="C718" s="20"/>
    </row>
    <row r="719" customFormat="false" ht="15.75" hidden="false" customHeight="false" outlineLevel="0" collapsed="false">
      <c r="C719" s="20"/>
    </row>
    <row r="720" customFormat="false" ht="15.75" hidden="false" customHeight="false" outlineLevel="0" collapsed="false">
      <c r="C720" s="20"/>
    </row>
    <row r="721" customFormat="false" ht="15.75" hidden="false" customHeight="false" outlineLevel="0" collapsed="false">
      <c r="C721" s="20"/>
    </row>
    <row r="722" customFormat="false" ht="15.75" hidden="false" customHeight="false" outlineLevel="0" collapsed="false">
      <c r="C722" s="20"/>
    </row>
    <row r="723" customFormat="false" ht="15.75" hidden="false" customHeight="false" outlineLevel="0" collapsed="false">
      <c r="C723" s="20"/>
    </row>
    <row r="724" customFormat="false" ht="15.75" hidden="false" customHeight="false" outlineLevel="0" collapsed="false">
      <c r="C724" s="20"/>
    </row>
    <row r="725" customFormat="false" ht="15.75" hidden="false" customHeight="false" outlineLevel="0" collapsed="false">
      <c r="C725" s="20"/>
    </row>
    <row r="726" customFormat="false" ht="15.75" hidden="false" customHeight="false" outlineLevel="0" collapsed="false">
      <c r="C726" s="20"/>
    </row>
    <row r="727" customFormat="false" ht="15.75" hidden="false" customHeight="false" outlineLevel="0" collapsed="false">
      <c r="C727" s="20"/>
    </row>
    <row r="728" customFormat="false" ht="15.75" hidden="false" customHeight="false" outlineLevel="0" collapsed="false">
      <c r="C728" s="20"/>
    </row>
    <row r="729" customFormat="false" ht="15.75" hidden="false" customHeight="false" outlineLevel="0" collapsed="false">
      <c r="C729" s="20"/>
    </row>
    <row r="730" customFormat="false" ht="15.75" hidden="false" customHeight="false" outlineLevel="0" collapsed="false">
      <c r="C730" s="20"/>
    </row>
    <row r="731" customFormat="false" ht="15.75" hidden="false" customHeight="false" outlineLevel="0" collapsed="false">
      <c r="C731" s="20"/>
    </row>
    <row r="732" customFormat="false" ht="15.75" hidden="false" customHeight="false" outlineLevel="0" collapsed="false">
      <c r="C732" s="20"/>
    </row>
    <row r="733" customFormat="false" ht="15.75" hidden="false" customHeight="false" outlineLevel="0" collapsed="false">
      <c r="C733" s="20"/>
    </row>
    <row r="734" customFormat="false" ht="15.75" hidden="false" customHeight="false" outlineLevel="0" collapsed="false">
      <c r="C734" s="20"/>
    </row>
    <row r="735" customFormat="false" ht="15.75" hidden="false" customHeight="false" outlineLevel="0" collapsed="false">
      <c r="C735" s="20"/>
    </row>
    <row r="736" customFormat="false" ht="15.75" hidden="false" customHeight="false" outlineLevel="0" collapsed="false">
      <c r="C736" s="20"/>
    </row>
    <row r="737" customFormat="false" ht="15.75" hidden="false" customHeight="false" outlineLevel="0" collapsed="false">
      <c r="C737" s="20"/>
    </row>
    <row r="738" customFormat="false" ht="15.75" hidden="false" customHeight="false" outlineLevel="0" collapsed="false">
      <c r="C738" s="20"/>
    </row>
    <row r="739" customFormat="false" ht="15.75" hidden="false" customHeight="false" outlineLevel="0" collapsed="false">
      <c r="C739" s="20"/>
    </row>
    <row r="740" customFormat="false" ht="15.75" hidden="false" customHeight="false" outlineLevel="0" collapsed="false">
      <c r="C740" s="20"/>
    </row>
    <row r="741" customFormat="false" ht="15.75" hidden="false" customHeight="false" outlineLevel="0" collapsed="false">
      <c r="C741" s="20"/>
    </row>
    <row r="742" customFormat="false" ht="15.75" hidden="false" customHeight="false" outlineLevel="0" collapsed="false">
      <c r="C742" s="20"/>
    </row>
    <row r="743" customFormat="false" ht="15.75" hidden="false" customHeight="false" outlineLevel="0" collapsed="false">
      <c r="C743" s="20"/>
    </row>
    <row r="744" customFormat="false" ht="15.75" hidden="false" customHeight="false" outlineLevel="0" collapsed="false">
      <c r="C744" s="20"/>
    </row>
    <row r="745" customFormat="false" ht="15.75" hidden="false" customHeight="false" outlineLevel="0" collapsed="false">
      <c r="C745" s="20"/>
    </row>
    <row r="746" customFormat="false" ht="15.75" hidden="false" customHeight="false" outlineLevel="0" collapsed="false">
      <c r="C746" s="20"/>
    </row>
    <row r="747" customFormat="false" ht="15.75" hidden="false" customHeight="false" outlineLevel="0" collapsed="false">
      <c r="C747" s="20"/>
    </row>
    <row r="748" customFormat="false" ht="15.75" hidden="false" customHeight="false" outlineLevel="0" collapsed="false">
      <c r="C748" s="20"/>
    </row>
    <row r="749" customFormat="false" ht="15.75" hidden="false" customHeight="false" outlineLevel="0" collapsed="false">
      <c r="C749" s="20"/>
    </row>
    <row r="750" customFormat="false" ht="15.75" hidden="false" customHeight="false" outlineLevel="0" collapsed="false">
      <c r="C750" s="20"/>
    </row>
    <row r="751" customFormat="false" ht="15.75" hidden="false" customHeight="false" outlineLevel="0" collapsed="false">
      <c r="C751" s="20"/>
    </row>
    <row r="752" customFormat="false" ht="15.75" hidden="false" customHeight="false" outlineLevel="0" collapsed="false">
      <c r="C752" s="20"/>
    </row>
    <row r="753" customFormat="false" ht="15.75" hidden="false" customHeight="false" outlineLevel="0" collapsed="false">
      <c r="C753" s="20"/>
    </row>
    <row r="754" customFormat="false" ht="15.75" hidden="false" customHeight="false" outlineLevel="0" collapsed="false">
      <c r="C754" s="20"/>
    </row>
    <row r="755" customFormat="false" ht="15.75" hidden="false" customHeight="false" outlineLevel="0" collapsed="false">
      <c r="C755" s="20"/>
    </row>
    <row r="756" customFormat="false" ht="15.75" hidden="false" customHeight="false" outlineLevel="0" collapsed="false">
      <c r="C756" s="20"/>
    </row>
    <row r="757" customFormat="false" ht="15.75" hidden="false" customHeight="false" outlineLevel="0" collapsed="false">
      <c r="C757" s="20"/>
    </row>
    <row r="758" customFormat="false" ht="15.75" hidden="false" customHeight="false" outlineLevel="0" collapsed="false">
      <c r="C758" s="20"/>
    </row>
    <row r="759" customFormat="false" ht="15.75" hidden="false" customHeight="false" outlineLevel="0" collapsed="false">
      <c r="C759" s="20"/>
    </row>
    <row r="760" customFormat="false" ht="15.75" hidden="false" customHeight="false" outlineLevel="0" collapsed="false">
      <c r="C760" s="20"/>
    </row>
    <row r="761" customFormat="false" ht="15.75" hidden="false" customHeight="false" outlineLevel="0" collapsed="false">
      <c r="C761" s="20"/>
    </row>
    <row r="762" customFormat="false" ht="15.75" hidden="false" customHeight="false" outlineLevel="0" collapsed="false">
      <c r="C762" s="20"/>
    </row>
    <row r="763" customFormat="false" ht="15.75" hidden="false" customHeight="false" outlineLevel="0" collapsed="false">
      <c r="C763" s="20"/>
    </row>
    <row r="764" customFormat="false" ht="15.75" hidden="false" customHeight="false" outlineLevel="0" collapsed="false">
      <c r="C764" s="20"/>
    </row>
    <row r="765" customFormat="false" ht="15.75" hidden="false" customHeight="false" outlineLevel="0" collapsed="false">
      <c r="C765" s="20"/>
    </row>
    <row r="766" customFormat="false" ht="15.75" hidden="false" customHeight="false" outlineLevel="0" collapsed="false">
      <c r="C766" s="20"/>
    </row>
    <row r="767" customFormat="false" ht="15.75" hidden="false" customHeight="false" outlineLevel="0" collapsed="false">
      <c r="C767" s="20"/>
    </row>
    <row r="768" customFormat="false" ht="15.75" hidden="false" customHeight="false" outlineLevel="0" collapsed="false">
      <c r="C768" s="20"/>
    </row>
    <row r="769" customFormat="false" ht="15.75" hidden="false" customHeight="false" outlineLevel="0" collapsed="false">
      <c r="C769" s="20"/>
    </row>
    <row r="770" customFormat="false" ht="15.75" hidden="false" customHeight="false" outlineLevel="0" collapsed="false">
      <c r="C770" s="20"/>
    </row>
    <row r="771" customFormat="false" ht="15.75" hidden="false" customHeight="false" outlineLevel="0" collapsed="false">
      <c r="C771" s="20"/>
    </row>
    <row r="772" customFormat="false" ht="15.75" hidden="false" customHeight="false" outlineLevel="0" collapsed="false">
      <c r="C772" s="20"/>
    </row>
    <row r="773" customFormat="false" ht="15.75" hidden="false" customHeight="false" outlineLevel="0" collapsed="false">
      <c r="C773" s="20"/>
    </row>
    <row r="774" customFormat="false" ht="15.75" hidden="false" customHeight="false" outlineLevel="0" collapsed="false">
      <c r="C774" s="20"/>
    </row>
    <row r="775" customFormat="false" ht="15.75" hidden="false" customHeight="false" outlineLevel="0" collapsed="false">
      <c r="C775" s="20"/>
    </row>
    <row r="776" customFormat="false" ht="15.75" hidden="false" customHeight="false" outlineLevel="0" collapsed="false">
      <c r="C776" s="20"/>
    </row>
    <row r="777" customFormat="false" ht="15.75" hidden="false" customHeight="false" outlineLevel="0" collapsed="false">
      <c r="C777" s="20"/>
    </row>
    <row r="778" customFormat="false" ht="15.75" hidden="false" customHeight="false" outlineLevel="0" collapsed="false">
      <c r="C778" s="20"/>
    </row>
    <row r="779" customFormat="false" ht="15.75" hidden="false" customHeight="false" outlineLevel="0" collapsed="false">
      <c r="C779" s="20"/>
    </row>
    <row r="780" customFormat="false" ht="15.75" hidden="false" customHeight="false" outlineLevel="0" collapsed="false">
      <c r="C780" s="20"/>
    </row>
    <row r="781" customFormat="false" ht="15.75" hidden="false" customHeight="false" outlineLevel="0" collapsed="false">
      <c r="C781" s="20"/>
    </row>
    <row r="782" customFormat="false" ht="15.75" hidden="false" customHeight="false" outlineLevel="0" collapsed="false">
      <c r="C782" s="20"/>
    </row>
    <row r="783" customFormat="false" ht="15.75" hidden="false" customHeight="false" outlineLevel="0" collapsed="false">
      <c r="C783" s="20"/>
    </row>
    <row r="784" customFormat="false" ht="15.75" hidden="false" customHeight="false" outlineLevel="0" collapsed="false">
      <c r="C784" s="20"/>
    </row>
    <row r="785" customFormat="false" ht="15.75" hidden="false" customHeight="false" outlineLevel="0" collapsed="false">
      <c r="C785" s="20"/>
    </row>
    <row r="786" customFormat="false" ht="15.75" hidden="false" customHeight="false" outlineLevel="0" collapsed="false">
      <c r="C786" s="20"/>
    </row>
    <row r="787" customFormat="false" ht="15.75" hidden="false" customHeight="false" outlineLevel="0" collapsed="false">
      <c r="C787" s="20"/>
    </row>
    <row r="788" customFormat="false" ht="15.75" hidden="false" customHeight="false" outlineLevel="0" collapsed="false">
      <c r="C788" s="20"/>
    </row>
    <row r="789" customFormat="false" ht="15.75" hidden="false" customHeight="false" outlineLevel="0" collapsed="false">
      <c r="C789" s="20"/>
    </row>
    <row r="790" customFormat="false" ht="15.75" hidden="false" customHeight="false" outlineLevel="0" collapsed="false">
      <c r="C790" s="20"/>
    </row>
    <row r="791" customFormat="false" ht="15.75" hidden="false" customHeight="false" outlineLevel="0" collapsed="false">
      <c r="C791" s="20"/>
    </row>
    <row r="792" customFormat="false" ht="15.75" hidden="false" customHeight="false" outlineLevel="0" collapsed="false">
      <c r="C792" s="20"/>
    </row>
    <row r="793" customFormat="false" ht="15.75" hidden="false" customHeight="false" outlineLevel="0" collapsed="false">
      <c r="C793" s="20"/>
    </row>
    <row r="794" customFormat="false" ht="15.75" hidden="false" customHeight="false" outlineLevel="0" collapsed="false">
      <c r="C794" s="20"/>
    </row>
    <row r="795" customFormat="false" ht="15.75" hidden="false" customHeight="false" outlineLevel="0" collapsed="false">
      <c r="C795" s="20"/>
    </row>
    <row r="796" customFormat="false" ht="15.75" hidden="false" customHeight="false" outlineLevel="0" collapsed="false">
      <c r="C796" s="20"/>
    </row>
    <row r="797" customFormat="false" ht="15.75" hidden="false" customHeight="false" outlineLevel="0" collapsed="false">
      <c r="C797" s="20"/>
    </row>
    <row r="798" customFormat="false" ht="15.75" hidden="false" customHeight="false" outlineLevel="0" collapsed="false">
      <c r="C798" s="20"/>
    </row>
    <row r="799" customFormat="false" ht="15.75" hidden="false" customHeight="false" outlineLevel="0" collapsed="false">
      <c r="C799" s="20"/>
    </row>
    <row r="800" customFormat="false" ht="15.75" hidden="false" customHeight="false" outlineLevel="0" collapsed="false">
      <c r="C800" s="20"/>
    </row>
    <row r="801" customFormat="false" ht="15.75" hidden="false" customHeight="false" outlineLevel="0" collapsed="false">
      <c r="C801" s="20"/>
    </row>
    <row r="802" customFormat="false" ht="15.75" hidden="false" customHeight="false" outlineLevel="0" collapsed="false">
      <c r="C802" s="20"/>
    </row>
    <row r="803" customFormat="false" ht="15.75" hidden="false" customHeight="false" outlineLevel="0" collapsed="false">
      <c r="C803" s="20"/>
    </row>
    <row r="804" customFormat="false" ht="15.75" hidden="false" customHeight="false" outlineLevel="0" collapsed="false">
      <c r="C804" s="20"/>
    </row>
    <row r="805" customFormat="false" ht="15.75" hidden="false" customHeight="false" outlineLevel="0" collapsed="false">
      <c r="C805" s="20"/>
    </row>
    <row r="806" customFormat="false" ht="15.75" hidden="false" customHeight="false" outlineLevel="0" collapsed="false">
      <c r="C806" s="20"/>
    </row>
    <row r="807" customFormat="false" ht="15.75" hidden="false" customHeight="false" outlineLevel="0" collapsed="false">
      <c r="C807" s="20"/>
    </row>
    <row r="808" customFormat="false" ht="15.75" hidden="false" customHeight="false" outlineLevel="0" collapsed="false">
      <c r="C808" s="20"/>
    </row>
    <row r="809" customFormat="false" ht="15.75" hidden="false" customHeight="false" outlineLevel="0" collapsed="false">
      <c r="C809" s="20"/>
    </row>
    <row r="810" customFormat="false" ht="15.75" hidden="false" customHeight="false" outlineLevel="0" collapsed="false">
      <c r="C810" s="20"/>
    </row>
    <row r="811" customFormat="false" ht="15.75" hidden="false" customHeight="false" outlineLevel="0" collapsed="false">
      <c r="C811" s="20"/>
    </row>
    <row r="812" customFormat="false" ht="15.75" hidden="false" customHeight="false" outlineLevel="0" collapsed="false">
      <c r="C812" s="20"/>
    </row>
    <row r="813" customFormat="false" ht="15.75" hidden="false" customHeight="false" outlineLevel="0" collapsed="false">
      <c r="C813" s="20"/>
    </row>
  </sheetData>
  <autoFilter ref="A1:N185"/>
  <dataValidations count="1">
    <dataValidation allowBlank="true" errorStyle="stop" operator="between" showDropDown="false" showErrorMessage="true" showInputMessage="false" sqref="K2:K216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2" customFormat="false" ht="15.75" hidden="false" customHeight="false" outlineLevel="0" collapsed="false">
      <c r="A2" s="24" t="s">
        <v>13</v>
      </c>
      <c r="B2" s="31" t="s">
        <v>20</v>
      </c>
      <c r="C2" s="35" t="s">
        <v>21</v>
      </c>
      <c r="D2" s="35" t="s">
        <v>22</v>
      </c>
      <c r="E2" s="35" t="s">
        <v>23</v>
      </c>
      <c r="F2" s="36" t="n">
        <v>46271</v>
      </c>
      <c r="G2" s="31" t="s">
        <v>24</v>
      </c>
    </row>
    <row r="4" customFormat="false" ht="15.75" hidden="false" customHeight="false" outlineLevel="0" collapsed="false">
      <c r="A4" s="24" t="s">
        <v>17</v>
      </c>
      <c r="B4" s="31" t="s">
        <v>20</v>
      </c>
      <c r="C4" s="35" t="s">
        <v>25</v>
      </c>
      <c r="D4" s="35" t="s">
        <v>22</v>
      </c>
      <c r="E4" s="35" t="s">
        <v>26</v>
      </c>
      <c r="F4" s="37" t="n">
        <v>46274</v>
      </c>
      <c r="G4" s="38" t="s">
        <v>27</v>
      </c>
    </row>
    <row r="5" customFormat="false" ht="15.75" hidden="false" customHeight="false" outlineLevel="0" collapsed="false">
      <c r="A5" s="24" t="s">
        <v>19</v>
      </c>
      <c r="B5" s="31" t="s">
        <v>20</v>
      </c>
      <c r="C5" s="35" t="s">
        <v>25</v>
      </c>
      <c r="D5" s="35" t="s">
        <v>22</v>
      </c>
      <c r="E5" s="35" t="s">
        <v>26</v>
      </c>
      <c r="F5" s="36" t="n">
        <v>46274</v>
      </c>
      <c r="G5" s="39"/>
    </row>
    <row r="8" customFormat="false" ht="15.75" hidden="false" customHeight="false" outlineLevel="0" collapsed="false">
      <c r="A8" s="24" t="s">
        <v>28</v>
      </c>
      <c r="B8" s="31" t="s">
        <v>20</v>
      </c>
      <c r="C8" s="35" t="s">
        <v>21</v>
      </c>
      <c r="D8" s="35" t="s">
        <v>22</v>
      </c>
      <c r="E8" s="35" t="s">
        <v>29</v>
      </c>
      <c r="F8" s="37" t="n">
        <v>46275</v>
      </c>
      <c r="G8" s="39"/>
    </row>
    <row r="9" customFormat="false" ht="15.75" hidden="false" customHeight="false" outlineLevel="0" collapsed="false">
      <c r="A9" s="24" t="s">
        <v>30</v>
      </c>
      <c r="B9" s="31" t="s">
        <v>31</v>
      </c>
      <c r="C9" s="35" t="s">
        <v>32</v>
      </c>
      <c r="D9" s="35" t="s">
        <v>22</v>
      </c>
      <c r="E9" s="31" t="s">
        <v>29</v>
      </c>
      <c r="F9" s="37" t="n">
        <v>46275</v>
      </c>
      <c r="G9" s="39"/>
    </row>
    <row r="10" customFormat="false" ht="15.75" hidden="false" customHeight="false" outlineLevel="0" collapsed="false">
      <c r="A10" s="24" t="s">
        <v>33</v>
      </c>
      <c r="B10" s="31" t="s">
        <v>20</v>
      </c>
      <c r="C10" s="35" t="s">
        <v>21</v>
      </c>
      <c r="D10" s="35" t="s">
        <v>22</v>
      </c>
      <c r="E10" s="35" t="s">
        <v>34</v>
      </c>
      <c r="F10" s="37" t="n">
        <v>46275</v>
      </c>
      <c r="G10" s="39"/>
    </row>
    <row r="11" customFormat="false" ht="15.75" hidden="false" customHeight="false" outlineLevel="0" collapsed="false">
      <c r="A11" s="24" t="s">
        <v>35</v>
      </c>
      <c r="B11" s="31" t="s">
        <v>20</v>
      </c>
      <c r="C11" s="35" t="s">
        <v>21</v>
      </c>
      <c r="D11" s="35" t="s">
        <v>22</v>
      </c>
      <c r="E11" s="35" t="s">
        <v>34</v>
      </c>
      <c r="F11" s="37" t="n">
        <v>46275</v>
      </c>
      <c r="G11" s="39"/>
    </row>
    <row r="12" customFormat="false" ht="15.75" hidden="false" customHeight="false" outlineLevel="0" collapsed="false">
      <c r="A12" s="24" t="s">
        <v>36</v>
      </c>
      <c r="B12" s="31" t="s">
        <v>37</v>
      </c>
      <c r="C12" s="35" t="s">
        <v>21</v>
      </c>
      <c r="D12" s="35" t="s">
        <v>22</v>
      </c>
      <c r="E12" s="35" t="s">
        <v>34</v>
      </c>
      <c r="F12" s="37" t="n">
        <v>46275</v>
      </c>
      <c r="G12" s="38" t="s">
        <v>38</v>
      </c>
    </row>
    <row r="13" customFormat="false" ht="15.75" hidden="false" customHeight="false" outlineLevel="0" collapsed="false">
      <c r="A13" s="24" t="s">
        <v>39</v>
      </c>
      <c r="B13" s="31" t="s">
        <v>20</v>
      </c>
      <c r="C13" s="35" t="s">
        <v>21</v>
      </c>
      <c r="D13" s="35" t="s">
        <v>22</v>
      </c>
      <c r="E13" s="35" t="s">
        <v>34</v>
      </c>
      <c r="F13" s="37" t="n">
        <v>46275</v>
      </c>
      <c r="G13" s="40"/>
    </row>
    <row r="14" customFormat="false" ht="15.75" hidden="false" customHeight="false" outlineLevel="0" collapsed="false">
      <c r="A14" s="24" t="s">
        <v>40</v>
      </c>
      <c r="B14" s="31" t="s">
        <v>20</v>
      </c>
      <c r="C14" s="35" t="s">
        <v>21</v>
      </c>
      <c r="D14" s="35" t="s">
        <v>22</v>
      </c>
      <c r="E14" s="35" t="s">
        <v>34</v>
      </c>
      <c r="F14" s="37" t="n">
        <v>46275</v>
      </c>
      <c r="G14" s="31" t="s">
        <v>41</v>
      </c>
    </row>
    <row r="15" customFormat="false" ht="15.75" hidden="false" customHeight="false" outlineLevel="0" collapsed="false">
      <c r="A15" s="24" t="s">
        <v>42</v>
      </c>
      <c r="B15" s="31" t="s">
        <v>20</v>
      </c>
      <c r="C15" s="35" t="s">
        <v>21</v>
      </c>
      <c r="D15" s="35" t="s">
        <v>22</v>
      </c>
      <c r="E15" s="35" t="s">
        <v>29</v>
      </c>
      <c r="F15" s="37" t="n">
        <v>46275</v>
      </c>
      <c r="G15" s="31" t="s">
        <v>38</v>
      </c>
    </row>
    <row r="16" customFormat="false" ht="15.75" hidden="false" customHeight="false" outlineLevel="0" collapsed="false">
      <c r="A16" s="24" t="s">
        <v>43</v>
      </c>
      <c r="B16" s="31" t="s">
        <v>20</v>
      </c>
      <c r="C16" s="35" t="s">
        <v>25</v>
      </c>
      <c r="D16" s="35" t="s">
        <v>22</v>
      </c>
      <c r="E16" s="35" t="s">
        <v>34</v>
      </c>
      <c r="F16" s="37" t="n">
        <v>46275</v>
      </c>
      <c r="G16" s="40"/>
    </row>
    <row r="17" customFormat="false" ht="15.75" hidden="false" customHeight="false" outlineLevel="0" collapsed="false">
      <c r="A17" s="24" t="s">
        <v>44</v>
      </c>
      <c r="B17" s="31" t="s">
        <v>20</v>
      </c>
      <c r="C17" s="35" t="s">
        <v>21</v>
      </c>
      <c r="D17" s="35" t="s">
        <v>22</v>
      </c>
      <c r="E17" s="35" t="s">
        <v>34</v>
      </c>
      <c r="F17" s="37" t="n">
        <v>46275</v>
      </c>
      <c r="G17" s="31" t="s">
        <v>27</v>
      </c>
    </row>
    <row r="18" customFormat="false" ht="15.75" hidden="false" customHeight="false" outlineLevel="0" collapsed="false">
      <c r="A18" s="24" t="s">
        <v>45</v>
      </c>
      <c r="B18" s="31" t="s">
        <v>20</v>
      </c>
      <c r="C18" s="35" t="s">
        <v>21</v>
      </c>
      <c r="D18" s="35" t="s">
        <v>22</v>
      </c>
      <c r="E18" s="35" t="s">
        <v>34</v>
      </c>
      <c r="F18" s="37" t="n">
        <v>46275</v>
      </c>
      <c r="G18" s="40"/>
    </row>
    <row r="19" customFormat="false" ht="15.75" hidden="false" customHeight="false" outlineLevel="0" collapsed="false">
      <c r="A19" s="24" t="s">
        <v>46</v>
      </c>
      <c r="B19" s="31" t="s">
        <v>20</v>
      </c>
      <c r="C19" s="35" t="s">
        <v>25</v>
      </c>
      <c r="D19" s="35" t="s">
        <v>22</v>
      </c>
      <c r="E19" s="35" t="s">
        <v>34</v>
      </c>
      <c r="F19" s="37" t="n">
        <v>46275</v>
      </c>
      <c r="G19" s="40"/>
    </row>
    <row r="20" customFormat="false" ht="15.75" hidden="false" customHeight="false" outlineLevel="0" collapsed="false">
      <c r="A20" s="24" t="s">
        <v>47</v>
      </c>
      <c r="B20" s="31" t="s">
        <v>20</v>
      </c>
      <c r="C20" s="35" t="s">
        <v>21</v>
      </c>
      <c r="D20" s="35" t="s">
        <v>22</v>
      </c>
      <c r="E20" s="35" t="s">
        <v>34</v>
      </c>
      <c r="F20" s="37" t="n">
        <v>46275</v>
      </c>
      <c r="G20" s="31" t="s">
        <v>27</v>
      </c>
    </row>
    <row r="21" customFormat="false" ht="15.75" hidden="false" customHeight="false" outlineLevel="0" collapsed="false">
      <c r="A21" s="24" t="s">
        <v>48</v>
      </c>
      <c r="B21" s="31" t="s">
        <v>20</v>
      </c>
      <c r="C21" s="35" t="s">
        <v>21</v>
      </c>
      <c r="D21" s="35" t="s">
        <v>22</v>
      </c>
      <c r="E21" s="35" t="s">
        <v>34</v>
      </c>
      <c r="F21" s="37" t="n">
        <v>46275</v>
      </c>
      <c r="G21" s="40"/>
    </row>
    <row r="22" customFormat="false" ht="15.75" hidden="false" customHeight="false" outlineLevel="0" collapsed="false">
      <c r="A22" s="22" t="s">
        <v>49</v>
      </c>
      <c r="B22" s="31" t="s">
        <v>20</v>
      </c>
      <c r="C22" s="35" t="s">
        <v>25</v>
      </c>
      <c r="D22" s="35" t="s">
        <v>22</v>
      </c>
      <c r="E22" s="35" t="s">
        <v>34</v>
      </c>
      <c r="F22" s="37" t="n">
        <v>46275</v>
      </c>
      <c r="G22" s="38" t="s">
        <v>27</v>
      </c>
    </row>
    <row r="23" customFormat="false" ht="15.75" hidden="false" customHeight="false" outlineLevel="0" collapsed="false">
      <c r="A23" s="24" t="s">
        <v>50</v>
      </c>
      <c r="B23" s="31" t="s">
        <v>20</v>
      </c>
      <c r="C23" s="35" t="s">
        <v>21</v>
      </c>
      <c r="D23" s="35" t="s">
        <v>22</v>
      </c>
      <c r="E23" s="35" t="s">
        <v>26</v>
      </c>
      <c r="F23" s="37" t="n">
        <v>46275</v>
      </c>
      <c r="G23" s="40"/>
    </row>
    <row r="24" customFormat="false" ht="15.75" hidden="false" customHeight="false" outlineLevel="0" collapsed="false">
      <c r="A24" s="24" t="s">
        <v>51</v>
      </c>
      <c r="B24" s="31" t="s">
        <v>20</v>
      </c>
      <c r="C24" s="35" t="s">
        <v>25</v>
      </c>
      <c r="D24" s="35" t="s">
        <v>22</v>
      </c>
      <c r="E24" s="35" t="s">
        <v>29</v>
      </c>
      <c r="F24" s="37" t="n">
        <v>46275</v>
      </c>
      <c r="G24" s="38" t="s">
        <v>52</v>
      </c>
    </row>
    <row r="25" customFormat="false" ht="15.75" hidden="false" customHeight="false" outlineLevel="0" collapsed="false">
      <c r="A25" s="24" t="s">
        <v>53</v>
      </c>
      <c r="B25" s="31" t="s">
        <v>20</v>
      </c>
      <c r="C25" s="35" t="s">
        <v>25</v>
      </c>
      <c r="D25" s="35" t="s">
        <v>22</v>
      </c>
      <c r="E25" s="35" t="s">
        <v>34</v>
      </c>
      <c r="F25" s="37" t="n">
        <v>46275</v>
      </c>
      <c r="G25" s="38" t="s">
        <v>54</v>
      </c>
    </row>
    <row r="26" customFormat="false" ht="15.75" hidden="false" customHeight="false" outlineLevel="0" collapsed="false">
      <c r="A26" s="24" t="s">
        <v>55</v>
      </c>
      <c r="B26" s="31" t="s">
        <v>56</v>
      </c>
      <c r="C26" s="35" t="s">
        <v>25</v>
      </c>
      <c r="D26" s="35" t="s">
        <v>22</v>
      </c>
      <c r="E26" s="35" t="s">
        <v>34</v>
      </c>
      <c r="F26" s="37" t="n">
        <v>46275</v>
      </c>
      <c r="G26" s="38" t="s">
        <v>57</v>
      </c>
    </row>
    <row r="27" customFormat="false" ht="15.75" hidden="false" customHeight="false" outlineLevel="0" collapsed="false">
      <c r="A27" s="24" t="s">
        <v>58</v>
      </c>
      <c r="B27" s="31" t="s">
        <v>20</v>
      </c>
      <c r="C27" s="35" t="s">
        <v>21</v>
      </c>
      <c r="D27" s="35" t="s">
        <v>22</v>
      </c>
      <c r="E27" s="35" t="s">
        <v>34</v>
      </c>
      <c r="F27" s="37" t="n">
        <v>46275</v>
      </c>
      <c r="G27" s="39"/>
    </row>
    <row r="28" customFormat="false" ht="15.75" hidden="false" customHeight="false" outlineLevel="0" collapsed="false">
      <c r="A28" s="24" t="s">
        <v>59</v>
      </c>
      <c r="B28" s="31" t="s">
        <v>20</v>
      </c>
      <c r="C28" s="35" t="s">
        <v>25</v>
      </c>
      <c r="D28" s="35" t="s">
        <v>22</v>
      </c>
      <c r="E28" s="35" t="s">
        <v>34</v>
      </c>
      <c r="F28" s="37" t="n">
        <v>46275</v>
      </c>
      <c r="G28" s="39"/>
    </row>
    <row r="29" customFormat="false" ht="15.75" hidden="false" customHeight="false" outlineLevel="0" collapsed="false">
      <c r="A29" s="34" t="s">
        <v>60</v>
      </c>
      <c r="B29" s="31" t="s">
        <v>61</v>
      </c>
      <c r="C29" s="35" t="s">
        <v>25</v>
      </c>
      <c r="D29" s="35" t="s">
        <v>22</v>
      </c>
      <c r="E29" s="35" t="s">
        <v>34</v>
      </c>
      <c r="F29" s="37" t="n">
        <v>46275</v>
      </c>
      <c r="G29" s="38" t="s">
        <v>27</v>
      </c>
    </row>
    <row r="30" customFormat="false" ht="15.75" hidden="false" customHeight="false" outlineLevel="0" collapsed="false">
      <c r="A30" s="24" t="s">
        <v>62</v>
      </c>
      <c r="B30" s="31" t="s">
        <v>20</v>
      </c>
      <c r="C30" s="35" t="s">
        <v>21</v>
      </c>
      <c r="D30" s="35" t="s">
        <v>22</v>
      </c>
      <c r="E30" s="35" t="s">
        <v>34</v>
      </c>
      <c r="F30" s="37" t="n">
        <v>46275</v>
      </c>
      <c r="G30" s="39"/>
    </row>
    <row r="31" customFormat="false" ht="15.75" hidden="false" customHeight="false" outlineLevel="0" collapsed="false">
      <c r="A31" s="24" t="s">
        <v>63</v>
      </c>
      <c r="B31" s="31" t="s">
        <v>20</v>
      </c>
      <c r="C31" s="35" t="s">
        <v>21</v>
      </c>
      <c r="D31" s="35" t="s">
        <v>22</v>
      </c>
      <c r="E31" s="35" t="s">
        <v>34</v>
      </c>
      <c r="F31" s="37" t="n">
        <v>46275</v>
      </c>
      <c r="G31" s="38" t="s">
        <v>64</v>
      </c>
    </row>
    <row r="32" customFormat="false" ht="15.75" hidden="false" customHeight="false" outlineLevel="0" collapsed="false">
      <c r="A32" s="24" t="s">
        <v>65</v>
      </c>
      <c r="B32" s="31" t="s">
        <v>66</v>
      </c>
      <c r="C32" s="35" t="s">
        <v>21</v>
      </c>
      <c r="D32" s="35" t="s">
        <v>22</v>
      </c>
      <c r="E32" s="35" t="s">
        <v>29</v>
      </c>
      <c r="F32" s="37" t="n">
        <v>46275</v>
      </c>
      <c r="G32" s="38" t="s">
        <v>67</v>
      </c>
    </row>
    <row r="33" customFormat="false" ht="15.75" hidden="false" customHeight="false" outlineLevel="0" collapsed="false">
      <c r="A33" s="24" t="s">
        <v>68</v>
      </c>
      <c r="B33" s="31" t="s">
        <v>20</v>
      </c>
      <c r="C33" s="35" t="s">
        <v>21</v>
      </c>
      <c r="D33" s="35" t="s">
        <v>22</v>
      </c>
      <c r="E33" s="35" t="s">
        <v>29</v>
      </c>
      <c r="F33" s="37" t="n">
        <v>46275</v>
      </c>
      <c r="G33" s="31" t="s">
        <v>27</v>
      </c>
    </row>
    <row r="34" customFormat="false" ht="15.75" hidden="false" customHeight="false" outlineLevel="0" collapsed="false">
      <c r="A34" s="24" t="s">
        <v>69</v>
      </c>
      <c r="B34" s="31" t="s">
        <v>70</v>
      </c>
      <c r="C34" s="35" t="s">
        <v>21</v>
      </c>
      <c r="D34" s="35" t="s">
        <v>22</v>
      </c>
      <c r="E34" s="35" t="s">
        <v>26</v>
      </c>
      <c r="F34" s="37" t="n">
        <v>46275</v>
      </c>
      <c r="G34" s="31" t="s">
        <v>71</v>
      </c>
    </row>
    <row r="35" customFormat="false" ht="15.75" hidden="false" customHeight="false" outlineLevel="0" collapsed="false">
      <c r="A35" s="22" t="s">
        <v>72</v>
      </c>
      <c r="B35" s="31" t="s">
        <v>20</v>
      </c>
      <c r="C35" s="35" t="s">
        <v>21</v>
      </c>
      <c r="D35" s="35" t="s">
        <v>22</v>
      </c>
      <c r="E35" s="35" t="s">
        <v>34</v>
      </c>
      <c r="F35" s="37" t="n">
        <v>46275</v>
      </c>
      <c r="G35" s="39"/>
    </row>
    <row r="36" customFormat="false" ht="15.75" hidden="false" customHeight="false" outlineLevel="0" collapsed="false">
      <c r="A36" s="24" t="s">
        <v>73</v>
      </c>
      <c r="B36" s="31" t="s">
        <v>20</v>
      </c>
      <c r="C36" s="35" t="s">
        <v>25</v>
      </c>
      <c r="D36" s="35" t="s">
        <v>22</v>
      </c>
      <c r="E36" s="35" t="s">
        <v>34</v>
      </c>
      <c r="F36" s="37" t="n">
        <v>46275</v>
      </c>
      <c r="G36" s="41" t="s">
        <v>74</v>
      </c>
    </row>
    <row r="38" customFormat="false" ht="15.75" hidden="false" customHeight="false" outlineLevel="0" collapsed="false">
      <c r="A38" s="24" t="s">
        <v>75</v>
      </c>
      <c r="B38" s="31" t="s">
        <v>20</v>
      </c>
      <c r="C38" s="35" t="s">
        <v>21</v>
      </c>
      <c r="D38" s="35" t="s">
        <v>22</v>
      </c>
      <c r="E38" s="35" t="s">
        <v>26</v>
      </c>
      <c r="F38" s="37" t="n">
        <v>46276</v>
      </c>
      <c r="G38" s="40"/>
    </row>
    <row r="39" customFormat="false" ht="15.75" hidden="false" customHeight="false" outlineLevel="0" collapsed="false">
      <c r="A39" s="24" t="s">
        <v>76</v>
      </c>
      <c r="B39" s="35" t="s">
        <v>77</v>
      </c>
      <c r="C39" s="35" t="s">
        <v>21</v>
      </c>
      <c r="D39" s="31" t="s">
        <v>22</v>
      </c>
      <c r="E39" s="35" t="s">
        <v>26</v>
      </c>
      <c r="F39" s="36" t="n">
        <v>46276</v>
      </c>
      <c r="G39" s="42"/>
    </row>
    <row r="40" customFormat="false" ht="15.75" hidden="false" customHeight="false" outlineLevel="0" collapsed="false">
      <c r="A40" s="24" t="s">
        <v>78</v>
      </c>
      <c r="B40" s="31" t="s">
        <v>20</v>
      </c>
      <c r="C40" s="35" t="s">
        <v>21</v>
      </c>
      <c r="D40" s="35" t="s">
        <v>22</v>
      </c>
      <c r="E40" s="35" t="s">
        <v>26</v>
      </c>
      <c r="F40" s="37" t="n">
        <v>46276</v>
      </c>
      <c r="G40" s="39"/>
    </row>
    <row r="41" customFormat="false" ht="15.75" hidden="false" customHeight="false" outlineLevel="0" collapsed="false">
      <c r="A41" s="24" t="s">
        <v>79</v>
      </c>
      <c r="B41" s="31" t="s">
        <v>20</v>
      </c>
      <c r="C41" s="35" t="s">
        <v>21</v>
      </c>
      <c r="D41" s="35" t="s">
        <v>22</v>
      </c>
      <c r="E41" s="35" t="s">
        <v>26</v>
      </c>
      <c r="F41" s="37" t="n">
        <v>46276</v>
      </c>
      <c r="G41" s="39"/>
    </row>
    <row r="43" customFormat="false" ht="15.75" hidden="false" customHeight="false" outlineLevel="0" collapsed="false">
      <c r="A43" s="24" t="s">
        <v>80</v>
      </c>
      <c r="B43" s="31" t="s">
        <v>20</v>
      </c>
      <c r="C43" s="35" t="s">
        <v>25</v>
      </c>
      <c r="D43" s="35" t="s">
        <v>22</v>
      </c>
      <c r="E43" s="35" t="s">
        <v>34</v>
      </c>
      <c r="F43" s="37" t="n">
        <v>46277</v>
      </c>
      <c r="G43" s="40"/>
    </row>
    <row r="44" customFormat="false" ht="15.75" hidden="false" customHeight="false" outlineLevel="0" collapsed="false">
      <c r="A44" s="24" t="s">
        <v>81</v>
      </c>
      <c r="B44" s="31" t="s">
        <v>82</v>
      </c>
      <c r="C44" s="35" t="s">
        <v>25</v>
      </c>
      <c r="D44" s="35" t="s">
        <v>22</v>
      </c>
      <c r="E44" s="35" t="s">
        <v>34</v>
      </c>
      <c r="F44" s="37" t="n">
        <v>46277</v>
      </c>
      <c r="G44" s="38" t="s">
        <v>83</v>
      </c>
    </row>
    <row r="45" customFormat="false" ht="15.75" hidden="false" customHeight="false" outlineLevel="0" collapsed="false">
      <c r="A45" s="24" t="s">
        <v>84</v>
      </c>
      <c r="B45" s="31" t="s">
        <v>20</v>
      </c>
      <c r="C45" s="35" t="s">
        <v>21</v>
      </c>
      <c r="D45" s="35" t="s">
        <v>22</v>
      </c>
      <c r="E45" s="35" t="s">
        <v>26</v>
      </c>
      <c r="F45" s="37" t="n">
        <v>46277</v>
      </c>
      <c r="G45" s="38" t="s">
        <v>27</v>
      </c>
    </row>
    <row r="46" customFormat="false" ht="15.75" hidden="false" customHeight="false" outlineLevel="0" collapsed="false">
      <c r="A46" s="24" t="s">
        <v>84</v>
      </c>
      <c r="B46" s="40"/>
      <c r="C46" s="35" t="s">
        <v>21</v>
      </c>
      <c r="D46" s="35" t="s">
        <v>22</v>
      </c>
      <c r="E46" s="35" t="s">
        <v>26</v>
      </c>
      <c r="F46" s="37" t="n">
        <v>46277</v>
      </c>
      <c r="G46" s="38" t="s">
        <v>85</v>
      </c>
    </row>
    <row r="47" customFormat="false" ht="15.75" hidden="false" customHeight="false" outlineLevel="0" collapsed="false">
      <c r="A47" s="24" t="s">
        <v>86</v>
      </c>
      <c r="B47" s="31" t="s">
        <v>20</v>
      </c>
      <c r="C47" s="35" t="s">
        <v>21</v>
      </c>
      <c r="D47" s="35" t="s">
        <v>22</v>
      </c>
      <c r="E47" s="35" t="s">
        <v>34</v>
      </c>
      <c r="F47" s="37" t="n">
        <v>46277</v>
      </c>
      <c r="G47" s="38" t="s">
        <v>87</v>
      </c>
    </row>
    <row r="48" customFormat="false" ht="15.75" hidden="false" customHeight="false" outlineLevel="0" collapsed="false">
      <c r="A48" s="24" t="s">
        <v>86</v>
      </c>
      <c r="B48" s="31" t="s">
        <v>20</v>
      </c>
      <c r="C48" s="35" t="s">
        <v>21</v>
      </c>
      <c r="D48" s="35" t="s">
        <v>22</v>
      </c>
      <c r="E48" s="35" t="s">
        <v>34</v>
      </c>
      <c r="F48" s="37" t="n">
        <v>46277</v>
      </c>
      <c r="G48" s="38" t="s">
        <v>87</v>
      </c>
    </row>
    <row r="49" customFormat="false" ht="15.75" hidden="false" customHeight="false" outlineLevel="0" collapsed="false">
      <c r="A49" s="24" t="s">
        <v>88</v>
      </c>
      <c r="B49" s="31" t="s">
        <v>20</v>
      </c>
      <c r="C49" s="35" t="s">
        <v>21</v>
      </c>
      <c r="D49" s="35" t="s">
        <v>22</v>
      </c>
      <c r="E49" s="35" t="s">
        <v>34</v>
      </c>
      <c r="F49" s="37" t="n">
        <v>46277</v>
      </c>
      <c r="G49" s="38" t="s">
        <v>87</v>
      </c>
    </row>
    <row r="50" customFormat="false" ht="15.75" hidden="false" customHeight="false" outlineLevel="0" collapsed="false">
      <c r="A50" s="24" t="s">
        <v>89</v>
      </c>
      <c r="B50" s="31" t="s">
        <v>20</v>
      </c>
      <c r="C50" s="35" t="s">
        <v>21</v>
      </c>
      <c r="D50" s="35" t="s">
        <v>22</v>
      </c>
      <c r="E50" s="35" t="s">
        <v>34</v>
      </c>
      <c r="F50" s="37" t="n">
        <v>46277</v>
      </c>
      <c r="G50" s="31" t="s">
        <v>90</v>
      </c>
    </row>
    <row r="51" customFormat="false" ht="15.75" hidden="false" customHeight="false" outlineLevel="0" collapsed="false">
      <c r="A51" s="24" t="s">
        <v>91</v>
      </c>
      <c r="B51" s="31" t="s">
        <v>92</v>
      </c>
      <c r="C51" s="31" t="s">
        <v>21</v>
      </c>
      <c r="D51" s="31" t="s">
        <v>22</v>
      </c>
      <c r="E51" s="35" t="s">
        <v>26</v>
      </c>
      <c r="F51" s="37" t="n">
        <v>46277</v>
      </c>
      <c r="G51" s="38" t="s">
        <v>93</v>
      </c>
    </row>
    <row r="52" customFormat="false" ht="15.75" hidden="false" customHeight="false" outlineLevel="0" collapsed="false">
      <c r="A52" s="24" t="s">
        <v>94</v>
      </c>
      <c r="B52" s="31" t="s">
        <v>95</v>
      </c>
      <c r="C52" s="31" t="s">
        <v>21</v>
      </c>
      <c r="D52" s="31" t="s">
        <v>22</v>
      </c>
      <c r="E52" s="40"/>
      <c r="F52" s="37" t="n">
        <v>46277</v>
      </c>
      <c r="G52" s="38" t="s">
        <v>93</v>
      </c>
    </row>
    <row r="53" customFormat="false" ht="15.75" hidden="false" customHeight="false" outlineLevel="0" collapsed="false">
      <c r="A53" s="24" t="s">
        <v>96</v>
      </c>
      <c r="B53" s="31" t="s">
        <v>97</v>
      </c>
      <c r="C53" s="35" t="s">
        <v>21</v>
      </c>
      <c r="D53" s="35" t="s">
        <v>22</v>
      </c>
      <c r="E53" s="35" t="s">
        <v>34</v>
      </c>
      <c r="F53" s="37" t="n">
        <v>46277</v>
      </c>
      <c r="G53" s="39"/>
    </row>
    <row r="54" customFormat="false" ht="15.75" hidden="false" customHeight="false" outlineLevel="0" collapsed="false">
      <c r="A54" s="24" t="s">
        <v>98</v>
      </c>
      <c r="B54" s="31" t="s">
        <v>99</v>
      </c>
      <c r="C54" s="35" t="s">
        <v>25</v>
      </c>
      <c r="D54" s="35" t="s">
        <v>22</v>
      </c>
      <c r="E54" s="35" t="s">
        <v>34</v>
      </c>
      <c r="F54" s="37" t="n">
        <v>46277</v>
      </c>
      <c r="G54" s="39"/>
    </row>
    <row r="55" customFormat="false" ht="15.75" hidden="false" customHeight="false" outlineLevel="0" collapsed="false">
      <c r="A55" s="24" t="s">
        <v>100</v>
      </c>
      <c r="B55" s="31" t="s">
        <v>101</v>
      </c>
      <c r="C55" s="35" t="s">
        <v>21</v>
      </c>
      <c r="D55" s="35" t="s">
        <v>22</v>
      </c>
      <c r="E55" s="35" t="s">
        <v>26</v>
      </c>
      <c r="F55" s="37" t="n">
        <v>46277</v>
      </c>
      <c r="G55" s="38" t="s">
        <v>90</v>
      </c>
    </row>
    <row r="56" customFormat="false" ht="15.75" hidden="false" customHeight="false" outlineLevel="0" collapsed="false">
      <c r="A56" s="24" t="s">
        <v>102</v>
      </c>
      <c r="B56" s="31" t="s">
        <v>82</v>
      </c>
      <c r="C56" s="35" t="s">
        <v>21</v>
      </c>
      <c r="D56" s="35" t="s">
        <v>22</v>
      </c>
      <c r="E56" s="35" t="s">
        <v>26</v>
      </c>
      <c r="F56" s="37" t="n">
        <v>46277</v>
      </c>
      <c r="G56" s="38" t="s">
        <v>90</v>
      </c>
    </row>
    <row r="57" customFormat="false" ht="15.75" hidden="false" customHeight="false" outlineLevel="0" collapsed="false">
      <c r="A57" s="24" t="s">
        <v>103</v>
      </c>
      <c r="B57" s="31" t="s">
        <v>20</v>
      </c>
      <c r="C57" s="35" t="s">
        <v>25</v>
      </c>
      <c r="D57" s="35" t="s">
        <v>22</v>
      </c>
      <c r="E57" s="35" t="s">
        <v>34</v>
      </c>
      <c r="F57" s="37" t="n">
        <v>46277</v>
      </c>
      <c r="G57" s="39"/>
    </row>
    <row r="58" customFormat="false" ht="15.75" hidden="false" customHeight="false" outlineLevel="0" collapsed="false">
      <c r="A58" s="24" t="s">
        <v>104</v>
      </c>
      <c r="B58" s="31" t="s">
        <v>105</v>
      </c>
      <c r="C58" s="35" t="s">
        <v>21</v>
      </c>
      <c r="D58" s="35" t="s">
        <v>22</v>
      </c>
      <c r="E58" s="35" t="s">
        <v>26</v>
      </c>
      <c r="F58" s="37" t="n">
        <v>46277</v>
      </c>
      <c r="G58" s="38" t="s">
        <v>106</v>
      </c>
    </row>
    <row r="60" customFormat="false" ht="15.75" hidden="false" customHeight="false" outlineLevel="0" collapsed="false">
      <c r="A60" s="24" t="s">
        <v>107</v>
      </c>
      <c r="B60" s="31" t="s">
        <v>20</v>
      </c>
      <c r="C60" s="35" t="s">
        <v>21</v>
      </c>
      <c r="D60" s="35" t="s">
        <v>22</v>
      </c>
      <c r="E60" s="35" t="s">
        <v>29</v>
      </c>
      <c r="F60" s="37" t="n">
        <v>46278</v>
      </c>
      <c r="G60" s="39"/>
    </row>
    <row r="61" customFormat="false" ht="15.75" hidden="false" customHeight="false" outlineLevel="0" collapsed="false">
      <c r="A61" s="24" t="s">
        <v>108</v>
      </c>
      <c r="B61" s="31" t="s">
        <v>20</v>
      </c>
      <c r="C61" s="35" t="s">
        <v>21</v>
      </c>
      <c r="D61" s="35" t="s">
        <v>22</v>
      </c>
      <c r="E61" s="35" t="s">
        <v>109</v>
      </c>
      <c r="F61" s="37" t="n">
        <v>46278</v>
      </c>
      <c r="G61" s="38" t="s">
        <v>110</v>
      </c>
    </row>
    <row r="62" customFormat="false" ht="15.75" hidden="false" customHeight="false" outlineLevel="0" collapsed="false">
      <c r="A62" s="23" t="s">
        <v>111</v>
      </c>
      <c r="B62" s="31" t="s">
        <v>99</v>
      </c>
      <c r="C62" s="35" t="s">
        <v>21</v>
      </c>
      <c r="D62" s="35" t="s">
        <v>22</v>
      </c>
      <c r="E62" s="35" t="s">
        <v>29</v>
      </c>
      <c r="F62" s="37" t="n">
        <v>46278</v>
      </c>
      <c r="G62" s="38" t="s">
        <v>112</v>
      </c>
    </row>
    <row r="63" customFormat="false" ht="15.75" hidden="false" customHeight="false" outlineLevel="0" collapsed="false">
      <c r="A63" s="23" t="s">
        <v>113</v>
      </c>
      <c r="B63" s="31" t="s">
        <v>20</v>
      </c>
      <c r="C63" s="35" t="s">
        <v>21</v>
      </c>
      <c r="D63" s="35" t="s">
        <v>22</v>
      </c>
      <c r="E63" s="35" t="s">
        <v>23</v>
      </c>
      <c r="F63" s="37" t="n">
        <v>46278</v>
      </c>
      <c r="G63" s="38" t="s">
        <v>27</v>
      </c>
    </row>
    <row r="64" customFormat="false" ht="15.75" hidden="false" customHeight="false" outlineLevel="0" collapsed="false">
      <c r="A64" s="24" t="s">
        <v>114</v>
      </c>
      <c r="B64" s="31" t="s">
        <v>115</v>
      </c>
      <c r="C64" s="35" t="s">
        <v>21</v>
      </c>
      <c r="D64" s="35" t="s">
        <v>22</v>
      </c>
      <c r="E64" s="35" t="s">
        <v>29</v>
      </c>
      <c r="F64" s="37" t="n">
        <v>46278</v>
      </c>
      <c r="G64" s="38" t="s">
        <v>27</v>
      </c>
    </row>
    <row r="65" customFormat="false" ht="15.75" hidden="false" customHeight="false" outlineLevel="0" collapsed="false">
      <c r="A65" s="24" t="s">
        <v>116</v>
      </c>
      <c r="B65" s="31" t="s">
        <v>117</v>
      </c>
      <c r="C65" s="35" t="s">
        <v>21</v>
      </c>
      <c r="D65" s="35" t="s">
        <v>22</v>
      </c>
      <c r="E65" s="35" t="s">
        <v>29</v>
      </c>
      <c r="F65" s="37" t="n">
        <v>46278</v>
      </c>
      <c r="G65" s="39"/>
    </row>
    <row r="66" customFormat="false" ht="15.75" hidden="false" customHeight="false" outlineLevel="0" collapsed="false">
      <c r="A66" s="23" t="s">
        <v>118</v>
      </c>
      <c r="B66" s="31" t="s">
        <v>99</v>
      </c>
      <c r="C66" s="35" t="s">
        <v>21</v>
      </c>
      <c r="D66" s="35" t="s">
        <v>22</v>
      </c>
      <c r="E66" s="35" t="s">
        <v>29</v>
      </c>
      <c r="F66" s="37" t="n">
        <v>46278</v>
      </c>
      <c r="G66" s="38" t="s">
        <v>119</v>
      </c>
    </row>
    <row r="67" customFormat="false" ht="15.75" hidden="false" customHeight="false" outlineLevel="0" collapsed="false">
      <c r="A67" s="23" t="s">
        <v>120</v>
      </c>
      <c r="B67" s="31" t="s">
        <v>121</v>
      </c>
      <c r="C67" s="35" t="s">
        <v>21</v>
      </c>
      <c r="D67" s="35" t="s">
        <v>22</v>
      </c>
      <c r="E67" s="35" t="s">
        <v>23</v>
      </c>
      <c r="F67" s="37" t="n">
        <v>46278</v>
      </c>
      <c r="G67" s="38" t="s">
        <v>27</v>
      </c>
    </row>
    <row r="68" customFormat="false" ht="15.75" hidden="false" customHeight="false" outlineLevel="0" collapsed="false">
      <c r="A68" s="28"/>
      <c r="B68" s="43"/>
      <c r="C68" s="28"/>
      <c r="D68" s="28"/>
      <c r="E68" s="28"/>
      <c r="F68" s="44"/>
      <c r="G68" s="43"/>
    </row>
    <row r="69" customFormat="false" ht="15.75" hidden="false" customHeight="false" outlineLevel="0" collapsed="false">
      <c r="A69" s="28"/>
      <c r="B69" s="43"/>
      <c r="C69" s="28"/>
      <c r="D69" s="28"/>
      <c r="E69" s="28"/>
      <c r="F69" s="44"/>
      <c r="G69" s="43"/>
    </row>
    <row r="70" customFormat="false" ht="15.75" hidden="false" customHeight="false" outlineLevel="0" collapsed="false">
      <c r="A70" s="24" t="s">
        <v>122</v>
      </c>
      <c r="B70" s="31" t="s">
        <v>20</v>
      </c>
      <c r="C70" s="35" t="s">
        <v>21</v>
      </c>
      <c r="D70" s="35" t="s">
        <v>22</v>
      </c>
      <c r="E70" s="35" t="s">
        <v>34</v>
      </c>
      <c r="F70" s="37" t="n">
        <v>46279</v>
      </c>
      <c r="G70" s="31" t="s">
        <v>123</v>
      </c>
    </row>
    <row r="71" customFormat="false" ht="15.75" hidden="false" customHeight="false" outlineLevel="0" collapsed="false">
      <c r="A71" s="24" t="s">
        <v>124</v>
      </c>
      <c r="B71" s="31" t="s">
        <v>20</v>
      </c>
      <c r="C71" s="35" t="s">
        <v>25</v>
      </c>
      <c r="D71" s="35" t="s">
        <v>22</v>
      </c>
      <c r="E71" s="35" t="s">
        <v>34</v>
      </c>
      <c r="F71" s="37" t="n">
        <v>46279</v>
      </c>
      <c r="G71" s="38" t="s">
        <v>125</v>
      </c>
    </row>
    <row r="72" customFormat="false" ht="15.75" hidden="false" customHeight="false" outlineLevel="0" collapsed="false">
      <c r="A72" s="24" t="s">
        <v>126</v>
      </c>
      <c r="B72" s="31" t="s">
        <v>127</v>
      </c>
      <c r="C72" s="35" t="s">
        <v>21</v>
      </c>
      <c r="D72" s="35" t="s">
        <v>22</v>
      </c>
      <c r="E72" s="35" t="s">
        <v>23</v>
      </c>
      <c r="F72" s="37" t="n">
        <v>46279</v>
      </c>
      <c r="G72" s="38" t="s">
        <v>87</v>
      </c>
    </row>
    <row r="73" customFormat="false" ht="15.75" hidden="false" customHeight="false" outlineLevel="0" collapsed="false">
      <c r="A73" s="24" t="s">
        <v>128</v>
      </c>
      <c r="B73" s="31" t="s">
        <v>129</v>
      </c>
      <c r="C73" s="35" t="s">
        <v>21</v>
      </c>
      <c r="D73" s="35" t="s">
        <v>22</v>
      </c>
      <c r="E73" s="35" t="s">
        <v>23</v>
      </c>
      <c r="F73" s="37" t="n">
        <v>46279</v>
      </c>
      <c r="G73" s="31" t="s">
        <v>130</v>
      </c>
    </row>
    <row r="74" customFormat="false" ht="15.75" hidden="false" customHeight="false" outlineLevel="0" collapsed="false">
      <c r="A74" s="24" t="s">
        <v>131</v>
      </c>
      <c r="B74" s="31" t="s">
        <v>129</v>
      </c>
      <c r="C74" s="35" t="s">
        <v>21</v>
      </c>
      <c r="D74" s="35" t="s">
        <v>22</v>
      </c>
      <c r="E74" s="35" t="s">
        <v>23</v>
      </c>
      <c r="F74" s="37" t="n">
        <v>46279</v>
      </c>
      <c r="G74" s="31" t="s">
        <v>132</v>
      </c>
    </row>
    <row r="75" customFormat="false" ht="15.75" hidden="false" customHeight="false" outlineLevel="0" collapsed="false">
      <c r="A75" s="24" t="s">
        <v>133</v>
      </c>
      <c r="B75" s="31" t="s">
        <v>20</v>
      </c>
      <c r="C75" s="35" t="s">
        <v>21</v>
      </c>
      <c r="D75" s="35" t="s">
        <v>22</v>
      </c>
      <c r="E75" s="35" t="s">
        <v>34</v>
      </c>
      <c r="F75" s="37" t="n">
        <v>46279</v>
      </c>
      <c r="G75" s="38" t="s">
        <v>41</v>
      </c>
    </row>
    <row r="76" customFormat="false" ht="15.75" hidden="false" customHeight="false" outlineLevel="0" collapsed="false">
      <c r="A76" s="24" t="s">
        <v>134</v>
      </c>
      <c r="B76" s="31" t="s">
        <v>135</v>
      </c>
      <c r="C76" s="35" t="s">
        <v>21</v>
      </c>
      <c r="D76" s="35" t="s">
        <v>22</v>
      </c>
      <c r="E76" s="35" t="s">
        <v>26</v>
      </c>
      <c r="F76" s="37" t="n">
        <v>46279</v>
      </c>
      <c r="G76" s="38" t="s">
        <v>136</v>
      </c>
    </row>
    <row r="77" customFormat="false" ht="15.75" hidden="false" customHeight="false" outlineLevel="0" collapsed="false">
      <c r="A77" s="24" t="s">
        <v>137</v>
      </c>
      <c r="B77" s="31" t="s">
        <v>138</v>
      </c>
      <c r="C77" s="35" t="s">
        <v>25</v>
      </c>
      <c r="D77" s="35" t="s">
        <v>22</v>
      </c>
      <c r="E77" s="35" t="s">
        <v>34</v>
      </c>
      <c r="F77" s="37" t="n">
        <v>46279</v>
      </c>
      <c r="G77" s="38" t="s">
        <v>136</v>
      </c>
    </row>
    <row r="78" customFormat="false" ht="15.75" hidden="false" customHeight="false" outlineLevel="0" collapsed="false">
      <c r="A78" s="25" t="s">
        <v>139</v>
      </c>
      <c r="B78" s="31" t="s">
        <v>20</v>
      </c>
      <c r="C78" s="31" t="s">
        <v>21</v>
      </c>
      <c r="D78" s="31" t="s">
        <v>22</v>
      </c>
      <c r="E78" s="35" t="s">
        <v>26</v>
      </c>
      <c r="F78" s="37" t="n">
        <v>46279</v>
      </c>
      <c r="G78" s="40"/>
    </row>
    <row r="79" customFormat="false" ht="15.75" hidden="false" customHeight="false" outlineLevel="0" collapsed="false">
      <c r="A79" s="24" t="s">
        <v>140</v>
      </c>
      <c r="B79" s="31" t="s">
        <v>20</v>
      </c>
      <c r="C79" s="35" t="s">
        <v>25</v>
      </c>
      <c r="D79" s="31" t="s">
        <v>22</v>
      </c>
      <c r="E79" s="35" t="s">
        <v>34</v>
      </c>
      <c r="F79" s="37" t="n">
        <v>46279</v>
      </c>
      <c r="G79" s="39"/>
    </row>
    <row r="80" customFormat="false" ht="15.75" hidden="false" customHeight="false" outlineLevel="0" collapsed="false">
      <c r="A80" s="24" t="s">
        <v>141</v>
      </c>
      <c r="B80" s="31" t="s">
        <v>20</v>
      </c>
      <c r="C80" s="35" t="s">
        <v>21</v>
      </c>
      <c r="D80" s="35" t="s">
        <v>22</v>
      </c>
      <c r="E80" s="35" t="s">
        <v>34</v>
      </c>
      <c r="F80" s="37" t="n">
        <v>46279</v>
      </c>
      <c r="G80" s="39"/>
    </row>
    <row r="82" customFormat="false" ht="15.75" hidden="false" customHeight="false" outlineLevel="0" collapsed="false">
      <c r="A82" s="23" t="s">
        <v>142</v>
      </c>
      <c r="B82" s="35" t="s">
        <v>143</v>
      </c>
      <c r="C82" s="35" t="s">
        <v>25</v>
      </c>
      <c r="D82" s="31" t="s">
        <v>22</v>
      </c>
      <c r="E82" s="35" t="s">
        <v>34</v>
      </c>
      <c r="F82" s="45" t="n">
        <v>46280</v>
      </c>
      <c r="G82" s="35" t="s">
        <v>64</v>
      </c>
    </row>
    <row r="83" customFormat="false" ht="15.75" hidden="false" customHeight="false" outlineLevel="0" collapsed="false">
      <c r="A83" s="26" t="s">
        <v>144</v>
      </c>
      <c r="B83" s="40"/>
      <c r="C83" s="35" t="s">
        <v>21</v>
      </c>
      <c r="D83" s="35" t="s">
        <v>22</v>
      </c>
      <c r="E83" s="40" t="s">
        <v>34</v>
      </c>
      <c r="F83" s="45" t="n">
        <v>46280</v>
      </c>
      <c r="G83" s="40" t="s">
        <v>145</v>
      </c>
    </row>
    <row r="84" customFormat="false" ht="15.75" hidden="false" customHeight="false" outlineLevel="0" collapsed="false">
      <c r="A84" s="25" t="s">
        <v>146</v>
      </c>
      <c r="B84" s="40"/>
      <c r="C84" s="35" t="s">
        <v>21</v>
      </c>
      <c r="D84" s="35" t="s">
        <v>22</v>
      </c>
      <c r="E84" s="35" t="s">
        <v>26</v>
      </c>
      <c r="F84" s="45" t="n">
        <v>46280</v>
      </c>
      <c r="G84" s="40" t="s">
        <v>147</v>
      </c>
    </row>
    <row r="85" customFormat="false" ht="15.75" hidden="false" customHeight="false" outlineLevel="0" collapsed="false">
      <c r="A85" s="25" t="s">
        <v>148</v>
      </c>
      <c r="B85" s="40"/>
      <c r="C85" s="35" t="s">
        <v>21</v>
      </c>
      <c r="D85" s="35" t="s">
        <v>22</v>
      </c>
      <c r="E85" s="35" t="s">
        <v>26</v>
      </c>
      <c r="F85" s="45" t="n">
        <v>46280</v>
      </c>
      <c r="G85" s="40" t="s">
        <v>147</v>
      </c>
    </row>
    <row r="86" customFormat="false" ht="15.75" hidden="false" customHeight="false" outlineLevel="0" collapsed="false">
      <c r="A86" s="25" t="s">
        <v>149</v>
      </c>
      <c r="B86" s="31" t="s">
        <v>150</v>
      </c>
      <c r="C86" s="35" t="s">
        <v>25</v>
      </c>
      <c r="D86" s="35" t="s">
        <v>22</v>
      </c>
      <c r="E86" s="35" t="s">
        <v>34</v>
      </c>
      <c r="F86" s="36" t="n">
        <v>46280</v>
      </c>
      <c r="G86" s="31" t="s">
        <v>151</v>
      </c>
    </row>
    <row r="87" customFormat="false" ht="15.75" hidden="false" customHeight="false" outlineLevel="0" collapsed="false">
      <c r="A87" s="25" t="s">
        <v>152</v>
      </c>
      <c r="B87" s="31" t="s">
        <v>115</v>
      </c>
      <c r="C87" s="35" t="s">
        <v>21</v>
      </c>
      <c r="D87" s="35" t="s">
        <v>22</v>
      </c>
      <c r="E87" s="35" t="s">
        <v>26</v>
      </c>
      <c r="F87" s="37" t="n">
        <v>46280</v>
      </c>
      <c r="G87" s="38" t="s">
        <v>153</v>
      </c>
    </row>
    <row r="88" customFormat="false" ht="15.75" hidden="false" customHeight="false" outlineLevel="0" collapsed="false">
      <c r="A88" s="25" t="s">
        <v>154</v>
      </c>
      <c r="B88" s="31" t="s">
        <v>20</v>
      </c>
      <c r="C88" s="35" t="s">
        <v>25</v>
      </c>
      <c r="D88" s="35" t="s">
        <v>22</v>
      </c>
      <c r="E88" s="35" t="s">
        <v>26</v>
      </c>
      <c r="F88" s="37" t="n">
        <v>46280</v>
      </c>
      <c r="G88" s="39"/>
    </row>
    <row r="89" customFormat="false" ht="15.75" hidden="false" customHeight="false" outlineLevel="0" collapsed="false">
      <c r="A89" s="25" t="s">
        <v>155</v>
      </c>
      <c r="B89" s="31" t="s">
        <v>20</v>
      </c>
      <c r="C89" s="35" t="s">
        <v>25</v>
      </c>
      <c r="D89" s="35" t="s">
        <v>22</v>
      </c>
      <c r="E89" s="35" t="s">
        <v>34</v>
      </c>
      <c r="F89" s="37" t="n">
        <v>46280</v>
      </c>
      <c r="G89" s="39"/>
    </row>
    <row r="90" customFormat="false" ht="15.75" hidden="false" customHeight="false" outlineLevel="0" collapsed="false">
      <c r="A90" s="25" t="s">
        <v>156</v>
      </c>
      <c r="B90" s="31" t="s">
        <v>20</v>
      </c>
      <c r="C90" s="35" t="s">
        <v>25</v>
      </c>
      <c r="D90" s="35" t="s">
        <v>22</v>
      </c>
      <c r="E90" s="35" t="s">
        <v>34</v>
      </c>
      <c r="F90" s="37" t="n">
        <v>46280</v>
      </c>
      <c r="G90" s="40"/>
    </row>
    <row r="91" customFormat="false" ht="15.75" hidden="false" customHeight="false" outlineLevel="0" collapsed="false">
      <c r="A91" s="24" t="s">
        <v>157</v>
      </c>
      <c r="B91" s="31" t="s">
        <v>20</v>
      </c>
      <c r="C91" s="35" t="s">
        <v>21</v>
      </c>
      <c r="D91" s="35" t="s">
        <v>22</v>
      </c>
      <c r="E91" s="35" t="s">
        <v>34</v>
      </c>
      <c r="F91" s="37" t="n">
        <v>46280</v>
      </c>
      <c r="G91" s="38" t="s">
        <v>90</v>
      </c>
    </row>
    <row r="92" customFormat="false" ht="15.75" hidden="false" customHeight="false" outlineLevel="0" collapsed="false">
      <c r="A92" s="24" t="s">
        <v>158</v>
      </c>
      <c r="B92" s="31" t="s">
        <v>20</v>
      </c>
      <c r="C92" s="35" t="s">
        <v>21</v>
      </c>
      <c r="D92" s="35" t="s">
        <v>22</v>
      </c>
      <c r="E92" s="35" t="s">
        <v>34</v>
      </c>
      <c r="F92" s="37" t="n">
        <v>46280</v>
      </c>
      <c r="G92" s="39"/>
    </row>
    <row r="93" customFormat="false" ht="15.75" hidden="false" customHeight="false" outlineLevel="0" collapsed="false">
      <c r="A93" s="24" t="s">
        <v>159</v>
      </c>
      <c r="B93" s="31" t="s">
        <v>20</v>
      </c>
      <c r="C93" s="35" t="s">
        <v>21</v>
      </c>
      <c r="D93" s="35" t="s">
        <v>22</v>
      </c>
      <c r="E93" s="35" t="s">
        <v>34</v>
      </c>
      <c r="F93" s="37" t="n">
        <v>46280</v>
      </c>
      <c r="G93" s="38" t="s">
        <v>160</v>
      </c>
    </row>
    <row r="94" customFormat="false" ht="15.75" hidden="false" customHeight="false" outlineLevel="0" collapsed="false">
      <c r="A94" s="28" t="s">
        <v>161</v>
      </c>
      <c r="B94" s="31" t="s">
        <v>20</v>
      </c>
      <c r="C94" s="35" t="s">
        <v>21</v>
      </c>
      <c r="D94" s="35" t="s">
        <v>22</v>
      </c>
      <c r="E94" s="35" t="s">
        <v>34</v>
      </c>
      <c r="F94" s="37" t="n">
        <v>46280</v>
      </c>
      <c r="G94" s="38" t="s">
        <v>162</v>
      </c>
    </row>
    <row r="95" customFormat="false" ht="15.75" hidden="false" customHeight="false" outlineLevel="0" collapsed="false">
      <c r="A95" s="24" t="s">
        <v>163</v>
      </c>
      <c r="B95" s="31" t="s">
        <v>164</v>
      </c>
      <c r="C95" s="35" t="s">
        <v>21</v>
      </c>
      <c r="D95" s="35" t="s">
        <v>22</v>
      </c>
      <c r="E95" s="35" t="s">
        <v>34</v>
      </c>
      <c r="F95" s="37" t="n">
        <v>46280</v>
      </c>
      <c r="G95" s="38" t="s">
        <v>165</v>
      </c>
    </row>
    <row r="96" customFormat="false" ht="15.75" hidden="false" customHeight="false" outlineLevel="0" collapsed="false">
      <c r="A96" s="24" t="s">
        <v>166</v>
      </c>
      <c r="B96" s="31" t="s">
        <v>20</v>
      </c>
      <c r="C96" s="35" t="s">
        <v>25</v>
      </c>
      <c r="D96" s="35" t="s">
        <v>22</v>
      </c>
      <c r="E96" s="35" t="s">
        <v>23</v>
      </c>
      <c r="F96" s="37" t="n">
        <v>46280</v>
      </c>
      <c r="G96" s="39"/>
    </row>
    <row r="97" customFormat="false" ht="15.75" hidden="false" customHeight="false" outlineLevel="0" collapsed="false">
      <c r="A97" s="24" t="s">
        <v>167</v>
      </c>
      <c r="B97" s="31" t="s">
        <v>20</v>
      </c>
      <c r="C97" s="35" t="s">
        <v>25</v>
      </c>
      <c r="D97" s="35" t="s">
        <v>22</v>
      </c>
      <c r="E97" s="35" t="s">
        <v>34</v>
      </c>
      <c r="F97" s="37" t="n">
        <v>46280</v>
      </c>
      <c r="G97" s="38" t="s">
        <v>27</v>
      </c>
    </row>
    <row r="98" customFormat="false" ht="15.75" hidden="false" customHeight="false" outlineLevel="0" collapsed="false">
      <c r="A98" s="24" t="s">
        <v>168</v>
      </c>
      <c r="B98" s="31" t="s">
        <v>20</v>
      </c>
      <c r="C98" s="35" t="s">
        <v>25</v>
      </c>
      <c r="D98" s="35" t="s">
        <v>22</v>
      </c>
      <c r="E98" s="35" t="s">
        <v>34</v>
      </c>
      <c r="F98" s="37" t="n">
        <v>46280</v>
      </c>
      <c r="G98" s="31" t="s">
        <v>169</v>
      </c>
    </row>
    <row r="99" customFormat="false" ht="15.75" hidden="false" customHeight="false" outlineLevel="0" collapsed="false">
      <c r="A99" s="24" t="s">
        <v>170</v>
      </c>
      <c r="B99" s="31" t="s">
        <v>171</v>
      </c>
      <c r="C99" s="35" t="s">
        <v>25</v>
      </c>
      <c r="D99" s="35" t="s">
        <v>22</v>
      </c>
      <c r="E99" s="35" t="s">
        <v>23</v>
      </c>
      <c r="F99" s="37" t="n">
        <v>46280</v>
      </c>
      <c r="G99" s="38" t="s">
        <v>172</v>
      </c>
    </row>
    <row r="100" customFormat="false" ht="15.75" hidden="false" customHeight="false" outlineLevel="0" collapsed="false">
      <c r="A100" s="24" t="s">
        <v>173</v>
      </c>
      <c r="B100" s="31" t="s">
        <v>20</v>
      </c>
      <c r="C100" s="35" t="s">
        <v>25</v>
      </c>
      <c r="D100" s="35" t="s">
        <v>22</v>
      </c>
      <c r="E100" s="35" t="s">
        <v>34</v>
      </c>
      <c r="F100" s="37" t="n">
        <v>46280</v>
      </c>
      <c r="G100" s="38" t="s">
        <v>174</v>
      </c>
    </row>
    <row r="101" customFormat="false" ht="15.75" hidden="false" customHeight="false" outlineLevel="0" collapsed="false">
      <c r="A101" s="24" t="s">
        <v>175</v>
      </c>
      <c r="B101" s="31" t="s">
        <v>20</v>
      </c>
      <c r="C101" s="35" t="s">
        <v>25</v>
      </c>
      <c r="D101" s="35" t="s">
        <v>22</v>
      </c>
      <c r="E101" s="35" t="s">
        <v>34</v>
      </c>
      <c r="F101" s="37" t="n">
        <v>46280</v>
      </c>
      <c r="G101" s="38" t="s">
        <v>27</v>
      </c>
    </row>
    <row r="102" customFormat="false" ht="15.75" hidden="false" customHeight="false" outlineLevel="0" collapsed="false">
      <c r="A102" s="24" t="s">
        <v>176</v>
      </c>
      <c r="B102" s="31" t="s">
        <v>20</v>
      </c>
      <c r="C102" s="35" t="s">
        <v>25</v>
      </c>
      <c r="D102" s="35" t="s">
        <v>22</v>
      </c>
      <c r="E102" s="35" t="s">
        <v>34</v>
      </c>
      <c r="F102" s="37" t="n">
        <v>46280</v>
      </c>
      <c r="G102" s="39"/>
    </row>
    <row r="103" customFormat="false" ht="15.75" hidden="false" customHeight="false" outlineLevel="0" collapsed="false">
      <c r="A103" s="24" t="s">
        <v>177</v>
      </c>
      <c r="B103" s="31" t="s">
        <v>20</v>
      </c>
      <c r="C103" s="35" t="s">
        <v>25</v>
      </c>
      <c r="D103" s="35" t="s">
        <v>22</v>
      </c>
      <c r="E103" s="35" t="s">
        <v>34</v>
      </c>
      <c r="F103" s="37" t="n">
        <v>46280</v>
      </c>
      <c r="G103" s="38" t="s">
        <v>174</v>
      </c>
    </row>
    <row r="104" customFormat="false" ht="15.75" hidden="false" customHeight="false" outlineLevel="0" collapsed="false">
      <c r="A104" s="24" t="s">
        <v>178</v>
      </c>
      <c r="B104" s="31" t="s">
        <v>20</v>
      </c>
      <c r="C104" s="35" t="s">
        <v>25</v>
      </c>
      <c r="D104" s="35" t="s">
        <v>22</v>
      </c>
      <c r="E104" s="35" t="s">
        <v>34</v>
      </c>
      <c r="F104" s="37" t="n">
        <v>46280</v>
      </c>
      <c r="G104" s="38" t="s">
        <v>41</v>
      </c>
    </row>
    <row r="105" customFormat="false" ht="15.75" hidden="false" customHeight="false" outlineLevel="0" collapsed="false">
      <c r="A105" s="24" t="s">
        <v>179</v>
      </c>
      <c r="B105" s="31" t="s">
        <v>20</v>
      </c>
      <c r="C105" s="35" t="s">
        <v>25</v>
      </c>
      <c r="D105" s="35" t="s">
        <v>22</v>
      </c>
      <c r="E105" s="35" t="s">
        <v>23</v>
      </c>
      <c r="F105" s="37" t="n">
        <v>46280</v>
      </c>
      <c r="G105" s="40"/>
    </row>
    <row r="106" customFormat="false" ht="15.75" hidden="false" customHeight="false" outlineLevel="0" collapsed="false">
      <c r="A106" s="24" t="s">
        <v>180</v>
      </c>
      <c r="B106" s="31" t="s">
        <v>20</v>
      </c>
      <c r="C106" s="35" t="s">
        <v>25</v>
      </c>
      <c r="D106" s="35" t="s">
        <v>22</v>
      </c>
      <c r="E106" s="35" t="s">
        <v>34</v>
      </c>
      <c r="F106" s="37" t="n">
        <v>46280</v>
      </c>
      <c r="G106" s="31" t="s">
        <v>41</v>
      </c>
    </row>
    <row r="107" customFormat="false" ht="15.75" hidden="false" customHeight="false" outlineLevel="0" collapsed="false">
      <c r="A107" s="24" t="s">
        <v>181</v>
      </c>
      <c r="B107" s="31" t="s">
        <v>20</v>
      </c>
      <c r="C107" s="35" t="s">
        <v>182</v>
      </c>
      <c r="D107" s="35" t="s">
        <v>22</v>
      </c>
      <c r="E107" s="35" t="s">
        <v>34</v>
      </c>
      <c r="F107" s="37" t="n">
        <v>46280</v>
      </c>
      <c r="G107" s="38" t="s">
        <v>183</v>
      </c>
    </row>
    <row r="108" customFormat="false" ht="15.75" hidden="false" customHeight="false" outlineLevel="0" collapsed="false">
      <c r="A108" s="24" t="s">
        <v>184</v>
      </c>
      <c r="B108" s="31" t="s">
        <v>185</v>
      </c>
      <c r="C108" s="35" t="s">
        <v>25</v>
      </c>
      <c r="D108" s="35" t="s">
        <v>22</v>
      </c>
      <c r="E108" s="35" t="s">
        <v>34</v>
      </c>
      <c r="F108" s="37" t="n">
        <v>46280</v>
      </c>
      <c r="G108" s="39"/>
    </row>
    <row r="109" customFormat="false" ht="15.75" hidden="false" customHeight="false" outlineLevel="0" collapsed="false">
      <c r="A109" s="24" t="s">
        <v>186</v>
      </c>
      <c r="B109" s="31" t="s">
        <v>20</v>
      </c>
      <c r="C109" s="35" t="s">
        <v>182</v>
      </c>
      <c r="D109" s="35" t="s">
        <v>22</v>
      </c>
      <c r="E109" s="35" t="s">
        <v>34</v>
      </c>
      <c r="F109" s="37" t="n">
        <v>46280</v>
      </c>
      <c r="G109" s="38" t="s">
        <v>90</v>
      </c>
    </row>
    <row r="110" customFormat="false" ht="15.75" hidden="false" customHeight="false" outlineLevel="0" collapsed="false">
      <c r="A110" s="24" t="s">
        <v>187</v>
      </c>
      <c r="B110" s="31" t="s">
        <v>20</v>
      </c>
      <c r="C110" s="35" t="s">
        <v>25</v>
      </c>
      <c r="D110" s="35" t="s">
        <v>22</v>
      </c>
      <c r="E110" s="35" t="s">
        <v>29</v>
      </c>
      <c r="F110" s="37" t="n">
        <v>46280</v>
      </c>
      <c r="G110" s="38" t="s">
        <v>188</v>
      </c>
    </row>
    <row r="111" customFormat="false" ht="15.75" hidden="false" customHeight="false" outlineLevel="0" collapsed="false">
      <c r="A111" s="24" t="s">
        <v>189</v>
      </c>
      <c r="B111" s="31" t="s">
        <v>20</v>
      </c>
      <c r="C111" s="35" t="s">
        <v>25</v>
      </c>
      <c r="D111" s="35" t="s">
        <v>22</v>
      </c>
      <c r="E111" s="35" t="s">
        <v>34</v>
      </c>
      <c r="F111" s="37" t="n">
        <v>46280</v>
      </c>
      <c r="G111" s="39"/>
    </row>
    <row r="112" customFormat="false" ht="15.75" hidden="false" customHeight="false" outlineLevel="0" collapsed="false">
      <c r="A112" s="24" t="s">
        <v>190</v>
      </c>
      <c r="B112" s="31" t="s">
        <v>20</v>
      </c>
      <c r="C112" s="35" t="s">
        <v>25</v>
      </c>
      <c r="D112" s="35" t="s">
        <v>22</v>
      </c>
      <c r="E112" s="35" t="s">
        <v>34</v>
      </c>
      <c r="F112" s="37" t="n">
        <v>46280</v>
      </c>
      <c r="G112" s="46" t="s">
        <v>191</v>
      </c>
    </row>
    <row r="113" customFormat="false" ht="15.75" hidden="false" customHeight="false" outlineLevel="0" collapsed="false">
      <c r="A113" s="24" t="s">
        <v>192</v>
      </c>
      <c r="B113" s="31" t="s">
        <v>20</v>
      </c>
      <c r="C113" s="35" t="s">
        <v>25</v>
      </c>
      <c r="D113" s="35" t="s">
        <v>22</v>
      </c>
      <c r="E113" s="35" t="s">
        <v>34</v>
      </c>
      <c r="F113" s="37" t="n">
        <v>46280</v>
      </c>
      <c r="G113" s="39"/>
    </row>
    <row r="114" customFormat="false" ht="15.75" hidden="false" customHeight="false" outlineLevel="0" collapsed="false">
      <c r="A114" s="35" t="s">
        <v>193</v>
      </c>
      <c r="B114" s="31" t="s">
        <v>20</v>
      </c>
      <c r="C114" s="35" t="s">
        <v>25</v>
      </c>
      <c r="D114" s="35" t="s">
        <v>22</v>
      </c>
      <c r="E114" s="35" t="s">
        <v>34</v>
      </c>
      <c r="F114" s="37" t="n">
        <v>46280</v>
      </c>
      <c r="G114" s="39"/>
    </row>
    <row r="115" customFormat="false" ht="15.75" hidden="false" customHeight="false" outlineLevel="0" collapsed="false">
      <c r="A115" s="24" t="s">
        <v>194</v>
      </c>
      <c r="B115" s="31" t="s">
        <v>20</v>
      </c>
      <c r="C115" s="35" t="s">
        <v>21</v>
      </c>
      <c r="D115" s="35" t="s">
        <v>22</v>
      </c>
      <c r="E115" s="35" t="s">
        <v>34</v>
      </c>
      <c r="F115" s="37" t="n">
        <v>46280</v>
      </c>
      <c r="G115" s="47" t="s">
        <v>195</v>
      </c>
    </row>
    <row r="116" customFormat="false" ht="15.75" hidden="false" customHeight="false" outlineLevel="0" collapsed="false">
      <c r="A116" s="24" t="s">
        <v>196</v>
      </c>
      <c r="B116" s="31" t="s">
        <v>185</v>
      </c>
      <c r="C116" s="35" t="s">
        <v>25</v>
      </c>
      <c r="D116" s="35" t="s">
        <v>22</v>
      </c>
      <c r="E116" s="35" t="s">
        <v>34</v>
      </c>
      <c r="F116" s="37" t="n">
        <v>46280</v>
      </c>
      <c r="G116" s="48"/>
    </row>
    <row r="117" customFormat="false" ht="15.75" hidden="false" customHeight="false" outlineLevel="0" collapsed="false">
      <c r="A117" s="24" t="s">
        <v>197</v>
      </c>
      <c r="B117" s="31" t="s">
        <v>20</v>
      </c>
      <c r="C117" s="35" t="s">
        <v>25</v>
      </c>
      <c r="D117" s="35" t="s">
        <v>22</v>
      </c>
      <c r="E117" s="35" t="s">
        <v>34</v>
      </c>
      <c r="F117" s="37" t="n">
        <v>46280</v>
      </c>
      <c r="G117" s="39"/>
    </row>
    <row r="118" customFormat="false" ht="15.75" hidden="false" customHeight="false" outlineLevel="0" collapsed="false">
      <c r="A118" s="24" t="s">
        <v>198</v>
      </c>
      <c r="B118" s="31" t="s">
        <v>20</v>
      </c>
      <c r="C118" s="35" t="s">
        <v>25</v>
      </c>
      <c r="D118" s="35" t="s">
        <v>22</v>
      </c>
      <c r="E118" s="35" t="s">
        <v>34</v>
      </c>
      <c r="F118" s="37" t="n">
        <v>46280</v>
      </c>
      <c r="G118" s="40"/>
    </row>
    <row r="119" customFormat="false" ht="15.75" hidden="false" customHeight="false" outlineLevel="0" collapsed="false">
      <c r="A119" s="24" t="s">
        <v>199</v>
      </c>
      <c r="B119" s="31" t="s">
        <v>20</v>
      </c>
      <c r="C119" s="35" t="s">
        <v>25</v>
      </c>
      <c r="D119" s="35" t="s">
        <v>22</v>
      </c>
      <c r="E119" s="35" t="s">
        <v>34</v>
      </c>
      <c r="F119" s="37" t="n">
        <v>46280</v>
      </c>
      <c r="G119" s="31" t="s">
        <v>27</v>
      </c>
    </row>
    <row r="120" customFormat="false" ht="15.75" hidden="false" customHeight="false" outlineLevel="0" collapsed="false">
      <c r="A120" s="24" t="s">
        <v>200</v>
      </c>
      <c r="B120" s="31" t="s">
        <v>20</v>
      </c>
      <c r="C120" s="35" t="s">
        <v>25</v>
      </c>
      <c r="D120" s="35" t="s">
        <v>22</v>
      </c>
      <c r="E120" s="35" t="s">
        <v>26</v>
      </c>
      <c r="F120" s="37" t="n">
        <v>46280</v>
      </c>
      <c r="G120" s="39"/>
    </row>
    <row r="121" customFormat="false" ht="15.75" hidden="false" customHeight="false" outlineLevel="0" collapsed="false">
      <c r="A121" s="24" t="s">
        <v>201</v>
      </c>
      <c r="B121" s="31" t="s">
        <v>202</v>
      </c>
      <c r="C121" s="35" t="s">
        <v>25</v>
      </c>
      <c r="D121" s="35" t="s">
        <v>22</v>
      </c>
      <c r="E121" s="35" t="s">
        <v>34</v>
      </c>
      <c r="F121" s="37" t="n">
        <v>46280</v>
      </c>
      <c r="G121" s="40"/>
    </row>
    <row r="122" customFormat="false" ht="15.75" hidden="false" customHeight="false" outlineLevel="0" collapsed="false">
      <c r="A122" s="24" t="s">
        <v>203</v>
      </c>
      <c r="B122" s="31" t="s">
        <v>20</v>
      </c>
      <c r="C122" s="35" t="s">
        <v>25</v>
      </c>
      <c r="D122" s="35" t="s">
        <v>22</v>
      </c>
      <c r="E122" s="35" t="s">
        <v>34</v>
      </c>
      <c r="F122" s="37" t="n">
        <v>46280</v>
      </c>
      <c r="G122" s="38" t="s">
        <v>27</v>
      </c>
    </row>
    <row r="123" customFormat="false" ht="15.75" hidden="false" customHeight="false" outlineLevel="0" collapsed="false">
      <c r="A123" s="24" t="s">
        <v>204</v>
      </c>
      <c r="B123" s="31" t="s">
        <v>205</v>
      </c>
      <c r="C123" s="35" t="s">
        <v>25</v>
      </c>
      <c r="D123" s="35" t="s">
        <v>22</v>
      </c>
      <c r="E123" s="35" t="s">
        <v>34</v>
      </c>
      <c r="F123" s="37" t="n">
        <v>46280</v>
      </c>
      <c r="G123" s="38" t="s">
        <v>27</v>
      </c>
    </row>
    <row r="124" customFormat="false" ht="15.75" hidden="false" customHeight="false" outlineLevel="0" collapsed="false">
      <c r="A124" s="24" t="s">
        <v>206</v>
      </c>
      <c r="B124" s="31" t="s">
        <v>207</v>
      </c>
      <c r="C124" s="35" t="s">
        <v>25</v>
      </c>
      <c r="D124" s="35" t="s">
        <v>22</v>
      </c>
      <c r="E124" s="35" t="s">
        <v>34</v>
      </c>
      <c r="F124" s="37" t="n">
        <v>46280</v>
      </c>
      <c r="G124" s="39"/>
    </row>
    <row r="125" customFormat="false" ht="15.75" hidden="false" customHeight="false" outlineLevel="0" collapsed="false">
      <c r="A125" s="24" t="s">
        <v>208</v>
      </c>
      <c r="B125" s="31" t="s">
        <v>20</v>
      </c>
      <c r="C125" s="35" t="s">
        <v>25</v>
      </c>
      <c r="D125" s="35" t="s">
        <v>22</v>
      </c>
      <c r="E125" s="35" t="s">
        <v>26</v>
      </c>
      <c r="F125" s="37" t="n">
        <v>46280</v>
      </c>
      <c r="G125" s="38" t="s">
        <v>209</v>
      </c>
    </row>
    <row r="126" customFormat="false" ht="15.75" hidden="false" customHeight="false" outlineLevel="0" collapsed="false">
      <c r="A126" s="24" t="s">
        <v>210</v>
      </c>
      <c r="B126" s="31" t="s">
        <v>20</v>
      </c>
      <c r="C126" s="35" t="s">
        <v>25</v>
      </c>
      <c r="D126" s="35" t="s">
        <v>22</v>
      </c>
      <c r="E126" s="35" t="s">
        <v>34</v>
      </c>
      <c r="F126" s="37" t="n">
        <v>46280</v>
      </c>
      <c r="G126" s="38" t="s">
        <v>27</v>
      </c>
    </row>
    <row r="127" customFormat="false" ht="15.75" hidden="false" customHeight="false" outlineLevel="0" collapsed="false">
      <c r="A127" s="24" t="s">
        <v>211</v>
      </c>
      <c r="B127" s="31" t="s">
        <v>20</v>
      </c>
      <c r="C127" s="35" t="s">
        <v>21</v>
      </c>
      <c r="D127" s="35" t="s">
        <v>22</v>
      </c>
      <c r="E127" s="35" t="s">
        <v>34</v>
      </c>
      <c r="F127" s="37" t="n">
        <v>46280</v>
      </c>
      <c r="G127" s="38" t="s">
        <v>212</v>
      </c>
    </row>
    <row r="128" customFormat="false" ht="15.75" hidden="false" customHeight="false" outlineLevel="0" collapsed="false">
      <c r="A128" s="25" t="s">
        <v>213</v>
      </c>
      <c r="B128" s="31" t="s">
        <v>214</v>
      </c>
      <c r="C128" s="35" t="s">
        <v>215</v>
      </c>
      <c r="D128" s="35" t="s">
        <v>22</v>
      </c>
      <c r="E128" s="35" t="s">
        <v>34</v>
      </c>
      <c r="F128" s="37" t="n">
        <v>46280</v>
      </c>
      <c r="G128" s="31" t="s">
        <v>216</v>
      </c>
    </row>
    <row r="129" customFormat="false" ht="15.75" hidden="false" customHeight="false" outlineLevel="0" collapsed="false">
      <c r="A129" s="24" t="s">
        <v>217</v>
      </c>
      <c r="B129" s="31" t="s">
        <v>218</v>
      </c>
      <c r="C129" s="35" t="s">
        <v>25</v>
      </c>
      <c r="D129" s="35" t="s">
        <v>22</v>
      </c>
      <c r="E129" s="35" t="s">
        <v>34</v>
      </c>
      <c r="F129" s="37" t="n">
        <v>46280</v>
      </c>
      <c r="G129" s="38" t="s">
        <v>219</v>
      </c>
    </row>
    <row r="130" customFormat="false" ht="15.75" hidden="false" customHeight="false" outlineLevel="0" collapsed="false">
      <c r="A130" s="24" t="s">
        <v>220</v>
      </c>
      <c r="B130" s="31" t="s">
        <v>20</v>
      </c>
      <c r="C130" s="35" t="s">
        <v>25</v>
      </c>
      <c r="D130" s="35" t="s">
        <v>22</v>
      </c>
      <c r="E130" s="35" t="s">
        <v>34</v>
      </c>
      <c r="F130" s="37" t="n">
        <v>46280</v>
      </c>
      <c r="G130" s="38" t="s">
        <v>221</v>
      </c>
    </row>
    <row r="131" customFormat="false" ht="15.75" hidden="false" customHeight="false" outlineLevel="0" collapsed="false">
      <c r="A131" s="25" t="s">
        <v>222</v>
      </c>
      <c r="B131" s="31" t="s">
        <v>223</v>
      </c>
      <c r="C131" s="35" t="s">
        <v>224</v>
      </c>
      <c r="D131" s="35" t="s">
        <v>22</v>
      </c>
      <c r="E131" s="35" t="s">
        <v>34</v>
      </c>
      <c r="F131" s="37" t="n">
        <v>46280</v>
      </c>
      <c r="G131" s="39"/>
    </row>
    <row r="132" customFormat="false" ht="15.75" hidden="false" customHeight="false" outlineLevel="0" collapsed="false">
      <c r="A132" s="23" t="s">
        <v>225</v>
      </c>
      <c r="B132" s="31" t="s">
        <v>20</v>
      </c>
      <c r="C132" s="35" t="s">
        <v>21</v>
      </c>
      <c r="D132" s="35" t="s">
        <v>22</v>
      </c>
      <c r="E132" s="35" t="s">
        <v>34</v>
      </c>
      <c r="F132" s="37" t="n">
        <v>46280</v>
      </c>
      <c r="G132" s="38" t="s">
        <v>226</v>
      </c>
    </row>
    <row r="133" customFormat="false" ht="15.75" hidden="false" customHeight="false" outlineLevel="0" collapsed="false">
      <c r="A133" s="23" t="s">
        <v>227</v>
      </c>
      <c r="B133" s="31" t="s">
        <v>20</v>
      </c>
      <c r="C133" s="35" t="s">
        <v>21</v>
      </c>
      <c r="D133" s="35" t="s">
        <v>22</v>
      </c>
      <c r="E133" s="35" t="s">
        <v>34</v>
      </c>
      <c r="F133" s="37" t="n">
        <v>46280</v>
      </c>
      <c r="G133" s="38" t="s">
        <v>27</v>
      </c>
    </row>
    <row r="134" customFormat="false" ht="15.75" hidden="false" customHeight="false" outlineLevel="0" collapsed="false">
      <c r="A134" s="23" t="s">
        <v>228</v>
      </c>
      <c r="B134" s="31" t="s">
        <v>20</v>
      </c>
      <c r="C134" s="35" t="s">
        <v>21</v>
      </c>
      <c r="D134" s="35" t="s">
        <v>22</v>
      </c>
      <c r="E134" s="35" t="s">
        <v>34</v>
      </c>
      <c r="F134" s="37" t="n">
        <v>46280</v>
      </c>
      <c r="G134" s="39"/>
    </row>
    <row r="135" customFormat="false" ht="15.75" hidden="false" customHeight="false" outlineLevel="0" collapsed="false">
      <c r="A135" s="23" t="s">
        <v>229</v>
      </c>
      <c r="B135" s="31" t="s">
        <v>115</v>
      </c>
      <c r="C135" s="35" t="s">
        <v>224</v>
      </c>
      <c r="D135" s="35" t="s">
        <v>22</v>
      </c>
      <c r="E135" s="35" t="s">
        <v>34</v>
      </c>
      <c r="F135" s="37" t="n">
        <v>46280</v>
      </c>
      <c r="G135" s="49" t="s">
        <v>230</v>
      </c>
    </row>
    <row r="136" customFormat="false" ht="15.75" hidden="false" customHeight="false" outlineLevel="0" collapsed="false">
      <c r="A136" s="50" t="s">
        <v>231</v>
      </c>
      <c r="B136" s="35" t="s">
        <v>20</v>
      </c>
      <c r="C136" s="35" t="s">
        <v>25</v>
      </c>
      <c r="D136" s="35" t="s">
        <v>22</v>
      </c>
      <c r="E136" s="35" t="s">
        <v>34</v>
      </c>
      <c r="F136" s="37" t="n">
        <v>46280</v>
      </c>
      <c r="G136" s="49"/>
    </row>
    <row r="137" customFormat="false" ht="15.75" hidden="false" customHeight="false" outlineLevel="0" collapsed="false">
      <c r="A137" s="24" t="s">
        <v>232</v>
      </c>
      <c r="B137" s="31" t="s">
        <v>233</v>
      </c>
      <c r="C137" s="35" t="s">
        <v>25</v>
      </c>
      <c r="D137" s="35" t="s">
        <v>22</v>
      </c>
      <c r="E137" s="35" t="s">
        <v>34</v>
      </c>
      <c r="F137" s="37" t="n">
        <v>46280</v>
      </c>
      <c r="G137" s="40"/>
    </row>
    <row r="138" customFormat="false" ht="15.75" hidden="false" customHeight="false" outlineLevel="0" collapsed="false">
      <c r="A138" s="24" t="s">
        <v>234</v>
      </c>
      <c r="B138" s="31" t="s">
        <v>235</v>
      </c>
      <c r="C138" s="35" t="s">
        <v>21</v>
      </c>
      <c r="D138" s="35" t="s">
        <v>22</v>
      </c>
      <c r="E138" s="35" t="s">
        <v>34</v>
      </c>
      <c r="F138" s="37" t="n">
        <v>46280</v>
      </c>
      <c r="G138" s="38" t="s">
        <v>236</v>
      </c>
    </row>
    <row r="139" customFormat="false" ht="15.75" hidden="false" customHeight="false" outlineLevel="0" collapsed="false">
      <c r="A139" s="24" t="s">
        <v>237</v>
      </c>
      <c r="B139" s="31" t="s">
        <v>20</v>
      </c>
      <c r="C139" s="35" t="s">
        <v>21</v>
      </c>
      <c r="D139" s="35" t="s">
        <v>22</v>
      </c>
      <c r="E139" s="35" t="s">
        <v>34</v>
      </c>
      <c r="F139" s="37" t="n">
        <v>46280</v>
      </c>
      <c r="G139" s="39"/>
    </row>
    <row r="140" customFormat="false" ht="15.75" hidden="false" customHeight="false" outlineLevel="0" collapsed="false">
      <c r="A140" s="24" t="s">
        <v>238</v>
      </c>
      <c r="B140" s="35" t="s">
        <v>20</v>
      </c>
      <c r="C140" s="35" t="s">
        <v>239</v>
      </c>
      <c r="D140" s="35" t="s">
        <v>22</v>
      </c>
      <c r="E140" s="35" t="s">
        <v>34</v>
      </c>
      <c r="F140" s="37" t="n">
        <v>46280</v>
      </c>
      <c r="G140" s="40" t="s">
        <v>240</v>
      </c>
    </row>
    <row r="141" customFormat="false" ht="15.75" hidden="false" customHeight="false" outlineLevel="0" collapsed="false">
      <c r="A141" s="24" t="s">
        <v>241</v>
      </c>
      <c r="B141" s="31" t="s">
        <v>164</v>
      </c>
      <c r="C141" s="35" t="s">
        <v>25</v>
      </c>
      <c r="D141" s="35" t="s">
        <v>22</v>
      </c>
      <c r="E141" s="35" t="s">
        <v>26</v>
      </c>
      <c r="F141" s="37" t="n">
        <v>46280</v>
      </c>
      <c r="G141" s="31" t="s">
        <v>242</v>
      </c>
    </row>
    <row r="142" customFormat="false" ht="15.75" hidden="false" customHeight="false" outlineLevel="0" collapsed="false">
      <c r="A142" s="24" t="s">
        <v>243</v>
      </c>
      <c r="B142" s="40" t="s">
        <v>244</v>
      </c>
      <c r="C142" s="35" t="s">
        <v>21</v>
      </c>
      <c r="D142" s="35" t="s">
        <v>22</v>
      </c>
      <c r="E142" s="35" t="s">
        <v>26</v>
      </c>
      <c r="F142" s="37" t="n">
        <v>46280</v>
      </c>
      <c r="G142" s="39" t="s">
        <v>245</v>
      </c>
    </row>
    <row r="143" customFormat="false" ht="15.75" hidden="false" customHeight="false" outlineLevel="0" collapsed="false">
      <c r="A143" s="24" t="s">
        <v>246</v>
      </c>
      <c r="B143" s="31" t="s">
        <v>20</v>
      </c>
      <c r="C143" s="35" t="s">
        <v>21</v>
      </c>
      <c r="D143" s="35" t="s">
        <v>22</v>
      </c>
      <c r="E143" s="35" t="s">
        <v>26</v>
      </c>
      <c r="F143" s="37" t="n">
        <v>46280</v>
      </c>
      <c r="G143" s="39"/>
    </row>
    <row r="144" customFormat="false" ht="15.75" hidden="false" customHeight="false" outlineLevel="0" collapsed="false">
      <c r="A144" s="24" t="s">
        <v>247</v>
      </c>
      <c r="B144" s="40"/>
      <c r="C144" s="35" t="s">
        <v>25</v>
      </c>
      <c r="D144" s="35" t="s">
        <v>22</v>
      </c>
      <c r="E144" s="35" t="s">
        <v>34</v>
      </c>
      <c r="F144" s="37" t="n">
        <v>46280</v>
      </c>
      <c r="G144" s="31" t="s">
        <v>248</v>
      </c>
    </row>
    <row r="145" customFormat="false" ht="15.75" hidden="false" customHeight="false" outlineLevel="0" collapsed="false">
      <c r="A145" s="24" t="s">
        <v>249</v>
      </c>
      <c r="B145" s="31" t="s">
        <v>20</v>
      </c>
      <c r="C145" s="35" t="s">
        <v>25</v>
      </c>
      <c r="D145" s="35" t="s">
        <v>22</v>
      </c>
      <c r="E145" s="35" t="s">
        <v>34</v>
      </c>
      <c r="F145" s="37" t="n">
        <v>46280</v>
      </c>
      <c r="G145" s="39"/>
    </row>
    <row r="146" customFormat="false" ht="15.75" hidden="false" customHeight="false" outlineLevel="0" collapsed="false">
      <c r="A146" s="24" t="s">
        <v>250</v>
      </c>
      <c r="B146" s="31" t="s">
        <v>20</v>
      </c>
      <c r="C146" s="35" t="s">
        <v>25</v>
      </c>
      <c r="D146" s="35" t="s">
        <v>22</v>
      </c>
      <c r="E146" s="35" t="s">
        <v>26</v>
      </c>
      <c r="F146" s="37" t="n">
        <v>46280</v>
      </c>
      <c r="G146" s="38" t="s">
        <v>226</v>
      </c>
    </row>
    <row r="147" customFormat="false" ht="15.75" hidden="false" customHeight="false" outlineLevel="0" collapsed="false">
      <c r="A147" s="24" t="s">
        <v>251</v>
      </c>
      <c r="B147" s="31" t="s">
        <v>20</v>
      </c>
      <c r="C147" s="35" t="s">
        <v>182</v>
      </c>
      <c r="D147" s="35" t="s">
        <v>22</v>
      </c>
      <c r="E147" s="35" t="s">
        <v>26</v>
      </c>
      <c r="F147" s="37" t="n">
        <v>46280</v>
      </c>
      <c r="G147" s="38" t="s">
        <v>252</v>
      </c>
    </row>
    <row r="148" customFormat="false" ht="15.75" hidden="false" customHeight="false" outlineLevel="0" collapsed="false">
      <c r="A148" s="24" t="s">
        <v>253</v>
      </c>
      <c r="B148" s="31" t="s">
        <v>20</v>
      </c>
      <c r="C148" s="35" t="s">
        <v>25</v>
      </c>
      <c r="D148" s="35" t="s">
        <v>22</v>
      </c>
      <c r="E148" s="35" t="s">
        <v>34</v>
      </c>
      <c r="F148" s="37" t="n">
        <v>46280</v>
      </c>
      <c r="G148" s="38" t="s">
        <v>254</v>
      </c>
    </row>
    <row r="149" customFormat="false" ht="15.75" hidden="false" customHeight="false" outlineLevel="0" collapsed="false">
      <c r="A149" s="24" t="s">
        <v>255</v>
      </c>
      <c r="B149" s="31" t="s">
        <v>207</v>
      </c>
      <c r="C149" s="35" t="s">
        <v>25</v>
      </c>
      <c r="D149" s="35" t="s">
        <v>22</v>
      </c>
      <c r="E149" s="35" t="s">
        <v>26</v>
      </c>
      <c r="F149" s="37" t="n">
        <v>46280</v>
      </c>
      <c r="G149" s="38" t="s">
        <v>64</v>
      </c>
    </row>
    <row r="150" customFormat="false" ht="15.75" hidden="false" customHeight="false" outlineLevel="0" collapsed="false">
      <c r="A150" s="24" t="s">
        <v>256</v>
      </c>
      <c r="B150" s="31" t="s">
        <v>164</v>
      </c>
      <c r="C150" s="35" t="s">
        <v>25</v>
      </c>
      <c r="D150" s="35" t="s">
        <v>22</v>
      </c>
      <c r="E150" s="35" t="s">
        <v>26</v>
      </c>
      <c r="F150" s="37" t="n">
        <v>46280</v>
      </c>
      <c r="G150" s="38" t="s">
        <v>257</v>
      </c>
    </row>
    <row r="151" customFormat="false" ht="15.75" hidden="false" customHeight="false" outlineLevel="0" collapsed="false">
      <c r="A151" s="24" t="s">
        <v>258</v>
      </c>
      <c r="B151" s="31" t="s">
        <v>20</v>
      </c>
      <c r="C151" s="35" t="s">
        <v>21</v>
      </c>
      <c r="D151" s="35" t="s">
        <v>22</v>
      </c>
      <c r="E151" s="35" t="s">
        <v>26</v>
      </c>
      <c r="F151" s="37" t="n">
        <v>46280</v>
      </c>
      <c r="G151" s="39"/>
    </row>
    <row r="152" customFormat="false" ht="15.75" hidden="false" customHeight="false" outlineLevel="0" collapsed="false">
      <c r="A152" s="24" t="s">
        <v>259</v>
      </c>
      <c r="B152" s="31" t="s">
        <v>20</v>
      </c>
      <c r="C152" s="35" t="s">
        <v>25</v>
      </c>
      <c r="D152" s="35" t="s">
        <v>22</v>
      </c>
      <c r="E152" s="35" t="s">
        <v>26</v>
      </c>
      <c r="F152" s="37" t="n">
        <v>46280</v>
      </c>
      <c r="G152" s="38" t="s">
        <v>260</v>
      </c>
    </row>
    <row r="153" customFormat="false" ht="15.75" hidden="false" customHeight="false" outlineLevel="0" collapsed="false">
      <c r="A153" s="25" t="s">
        <v>261</v>
      </c>
      <c r="B153" s="31" t="s">
        <v>20</v>
      </c>
      <c r="C153" s="35" t="s">
        <v>21</v>
      </c>
      <c r="D153" s="35" t="s">
        <v>22</v>
      </c>
      <c r="E153" s="35" t="s">
        <v>26</v>
      </c>
      <c r="F153" s="37" t="n">
        <v>46280</v>
      </c>
      <c r="G153" s="39"/>
    </row>
    <row r="154" customFormat="false" ht="15.75" hidden="false" customHeight="false" outlineLevel="0" collapsed="false">
      <c r="A154" s="24" t="s">
        <v>262</v>
      </c>
      <c r="B154" s="40"/>
      <c r="C154" s="35" t="s">
        <v>25</v>
      </c>
      <c r="D154" s="35" t="s">
        <v>22</v>
      </c>
      <c r="E154" s="35" t="s">
        <v>26</v>
      </c>
      <c r="F154" s="37" t="n">
        <v>46280</v>
      </c>
      <c r="G154" s="39"/>
    </row>
    <row r="155" customFormat="false" ht="15.75" hidden="false" customHeight="false" outlineLevel="0" collapsed="false">
      <c r="A155" s="24" t="s">
        <v>263</v>
      </c>
      <c r="B155" s="40"/>
      <c r="C155" s="35" t="s">
        <v>25</v>
      </c>
      <c r="D155" s="35" t="s">
        <v>22</v>
      </c>
      <c r="E155" s="35" t="s">
        <v>26</v>
      </c>
      <c r="F155" s="37" t="n">
        <v>46280</v>
      </c>
      <c r="G155" s="39"/>
    </row>
    <row r="156" customFormat="false" ht="15.75" hidden="false" customHeight="false" outlineLevel="0" collapsed="false">
      <c r="A156" s="24" t="s">
        <v>264</v>
      </c>
      <c r="B156" s="31" t="s">
        <v>20</v>
      </c>
      <c r="C156" s="35" t="s">
        <v>25</v>
      </c>
      <c r="D156" s="35" t="s">
        <v>22</v>
      </c>
      <c r="E156" s="35" t="s">
        <v>26</v>
      </c>
      <c r="F156" s="37" t="n">
        <v>46280</v>
      </c>
      <c r="G156" s="38" t="s">
        <v>265</v>
      </c>
    </row>
    <row r="157" customFormat="false" ht="15.75" hidden="false" customHeight="false" outlineLevel="0" collapsed="false">
      <c r="A157" s="24" t="s">
        <v>266</v>
      </c>
      <c r="B157" s="31" t="s">
        <v>20</v>
      </c>
      <c r="C157" s="35" t="s">
        <v>25</v>
      </c>
      <c r="D157" s="35" t="s">
        <v>22</v>
      </c>
      <c r="E157" s="35" t="s">
        <v>34</v>
      </c>
      <c r="F157" s="37" t="n">
        <v>46280</v>
      </c>
      <c r="G157" s="38" t="s">
        <v>27</v>
      </c>
    </row>
    <row r="158" customFormat="false" ht="15.75" hidden="false" customHeight="false" outlineLevel="0" collapsed="false">
      <c r="A158" s="23" t="s">
        <v>267</v>
      </c>
      <c r="B158" s="31" t="s">
        <v>20</v>
      </c>
      <c r="C158" s="35" t="s">
        <v>25</v>
      </c>
      <c r="D158" s="35" t="s">
        <v>22</v>
      </c>
      <c r="E158" s="35" t="s">
        <v>34</v>
      </c>
      <c r="F158" s="37" t="n">
        <v>46280</v>
      </c>
      <c r="G158" s="31" t="s">
        <v>268</v>
      </c>
    </row>
    <row r="159" customFormat="false" ht="15.75" hidden="false" customHeight="false" outlineLevel="0" collapsed="false">
      <c r="A159" s="23" t="s">
        <v>269</v>
      </c>
      <c r="B159" s="31" t="s">
        <v>20</v>
      </c>
      <c r="C159" s="35" t="s">
        <v>25</v>
      </c>
      <c r="D159" s="35" t="s">
        <v>22</v>
      </c>
      <c r="E159" s="35" t="s">
        <v>34</v>
      </c>
      <c r="F159" s="37" t="n">
        <v>46280</v>
      </c>
      <c r="G159" s="40"/>
    </row>
    <row r="160" customFormat="false" ht="15.75" hidden="false" customHeight="false" outlineLevel="0" collapsed="false">
      <c r="A160" s="23" t="s">
        <v>270</v>
      </c>
      <c r="B160" s="31" t="s">
        <v>20</v>
      </c>
      <c r="C160" s="35" t="s">
        <v>25</v>
      </c>
      <c r="D160" s="35" t="s">
        <v>22</v>
      </c>
      <c r="E160" s="35" t="s">
        <v>34</v>
      </c>
      <c r="F160" s="37" t="n">
        <v>46280</v>
      </c>
      <c r="G160" s="39"/>
    </row>
    <row r="161" customFormat="false" ht="15.75" hidden="false" customHeight="false" outlineLevel="0" collapsed="false">
      <c r="A161" s="23" t="s">
        <v>271</v>
      </c>
      <c r="B161" s="35" t="s">
        <v>20</v>
      </c>
      <c r="C161" s="35" t="s">
        <v>25</v>
      </c>
      <c r="D161" s="35" t="s">
        <v>22</v>
      </c>
      <c r="E161" s="35" t="s">
        <v>26</v>
      </c>
      <c r="F161" s="37" t="n">
        <v>46280</v>
      </c>
      <c r="G161" s="42"/>
    </row>
    <row r="162" customFormat="false" ht="15.75" hidden="false" customHeight="false" outlineLevel="0" collapsed="false">
      <c r="A162" s="25" t="s">
        <v>272</v>
      </c>
      <c r="B162" s="35" t="s">
        <v>20</v>
      </c>
      <c r="C162" s="35" t="s">
        <v>21</v>
      </c>
      <c r="D162" s="35" t="s">
        <v>22</v>
      </c>
      <c r="E162" s="42"/>
      <c r="F162" s="37" t="n">
        <v>46280</v>
      </c>
      <c r="G162" s="39"/>
    </row>
    <row r="163" customFormat="false" ht="15.75" hidden="false" customHeight="false" outlineLevel="0" collapsed="false">
      <c r="A163" s="51" t="s">
        <v>273</v>
      </c>
      <c r="B163" s="35" t="s">
        <v>20</v>
      </c>
      <c r="C163" s="35" t="s">
        <v>274</v>
      </c>
      <c r="D163" s="35" t="s">
        <v>22</v>
      </c>
      <c r="E163" s="35" t="s">
        <v>34</v>
      </c>
      <c r="F163" s="37" t="n">
        <v>46280</v>
      </c>
      <c r="G163" s="41" t="s">
        <v>275</v>
      </c>
    </row>
    <row r="165" customFormat="false" ht="15.75" hidden="false" customHeight="false" outlineLevel="0" collapsed="false">
      <c r="A165" s="25" t="s">
        <v>276</v>
      </c>
      <c r="B165" s="35" t="s">
        <v>20</v>
      </c>
      <c r="C165" s="35" t="s">
        <v>21</v>
      </c>
      <c r="D165" s="31" t="s">
        <v>22</v>
      </c>
      <c r="E165" s="35" t="s">
        <v>34</v>
      </c>
      <c r="F165" s="37" t="n">
        <v>46281</v>
      </c>
      <c r="G165" s="49"/>
    </row>
    <row r="166" customFormat="false" ht="15.75" hidden="false" customHeight="false" outlineLevel="0" collapsed="false">
      <c r="A166" s="24" t="s">
        <v>277</v>
      </c>
      <c r="B166" s="35" t="s">
        <v>20</v>
      </c>
      <c r="C166" s="35" t="s">
        <v>25</v>
      </c>
      <c r="D166" s="35" t="s">
        <v>22</v>
      </c>
      <c r="E166" s="35" t="s">
        <v>34</v>
      </c>
      <c r="F166" s="37" t="n">
        <v>46281</v>
      </c>
      <c r="G166" s="38" t="s">
        <v>278</v>
      </c>
    </row>
    <row r="167" customFormat="false" ht="15.75" hidden="false" customHeight="false" outlineLevel="0" collapsed="false">
      <c r="A167" s="23" t="s">
        <v>279</v>
      </c>
      <c r="B167" s="35" t="s">
        <v>20</v>
      </c>
      <c r="C167" s="35" t="s">
        <v>21</v>
      </c>
      <c r="D167" s="35" t="s">
        <v>22</v>
      </c>
      <c r="E167" s="35" t="s">
        <v>34</v>
      </c>
      <c r="F167" s="37" t="n">
        <v>46281</v>
      </c>
      <c r="G167" s="43" t="s">
        <v>90</v>
      </c>
    </row>
    <row r="168" customFormat="false" ht="15.75" hidden="false" customHeight="false" outlineLevel="0" collapsed="false">
      <c r="A168" s="25" t="s">
        <v>280</v>
      </c>
      <c r="B168" s="31" t="s">
        <v>20</v>
      </c>
      <c r="C168" s="35" t="s">
        <v>21</v>
      </c>
      <c r="D168" s="35" t="s">
        <v>22</v>
      </c>
      <c r="E168" s="35" t="s">
        <v>26</v>
      </c>
      <c r="F168" s="37" t="n">
        <v>46281</v>
      </c>
      <c r="G168" s="38" t="s">
        <v>90</v>
      </c>
    </row>
    <row r="169" customFormat="false" ht="15.75" hidden="false" customHeight="false" outlineLevel="0" collapsed="false">
      <c r="A169" s="24" t="s">
        <v>281</v>
      </c>
      <c r="B169" s="31" t="s">
        <v>282</v>
      </c>
      <c r="C169" s="35" t="s">
        <v>25</v>
      </c>
      <c r="D169" s="35" t="s">
        <v>22</v>
      </c>
      <c r="E169" s="35" t="s">
        <v>26</v>
      </c>
      <c r="F169" s="37" t="n">
        <v>46281</v>
      </c>
      <c r="G169" s="38" t="s">
        <v>90</v>
      </c>
    </row>
    <row r="170" customFormat="false" ht="15.75" hidden="false" customHeight="false" outlineLevel="0" collapsed="false">
      <c r="A170" s="23" t="s">
        <v>283</v>
      </c>
      <c r="B170" s="35" t="s">
        <v>20</v>
      </c>
      <c r="C170" s="35" t="s">
        <v>25</v>
      </c>
      <c r="D170" s="35" t="s">
        <v>22</v>
      </c>
      <c r="E170" s="35" t="s">
        <v>26</v>
      </c>
      <c r="F170" s="37" t="n">
        <v>46281</v>
      </c>
      <c r="G170" s="38" t="s">
        <v>284</v>
      </c>
    </row>
    <row r="171" customFormat="false" ht="15.75" hidden="false" customHeight="false" outlineLevel="0" collapsed="false">
      <c r="A171" s="23" t="s">
        <v>285</v>
      </c>
      <c r="B171" s="35" t="s">
        <v>20</v>
      </c>
      <c r="C171" s="35" t="s">
        <v>25</v>
      </c>
      <c r="D171" s="35" t="s">
        <v>22</v>
      </c>
      <c r="E171" s="35" t="s">
        <v>26</v>
      </c>
      <c r="F171" s="37" t="n">
        <v>46281</v>
      </c>
      <c r="G171" s="38" t="s">
        <v>286</v>
      </c>
    </row>
    <row r="172" customFormat="false" ht="15.75" hidden="false" customHeight="false" outlineLevel="0" collapsed="false">
      <c r="A172" s="23" t="s">
        <v>287</v>
      </c>
      <c r="B172" s="31" t="s">
        <v>288</v>
      </c>
      <c r="C172" s="35" t="s">
        <v>25</v>
      </c>
      <c r="D172" s="35" t="s">
        <v>22</v>
      </c>
      <c r="E172" s="35" t="s">
        <v>34</v>
      </c>
      <c r="F172" s="37" t="n">
        <v>46281</v>
      </c>
      <c r="G172" s="39" t="s">
        <v>174</v>
      </c>
    </row>
    <row r="173" customFormat="false" ht="15.75" hidden="false" customHeight="false" outlineLevel="0" collapsed="false">
      <c r="A173" s="23" t="s">
        <v>289</v>
      </c>
      <c r="B173" s="31" t="s">
        <v>20</v>
      </c>
      <c r="C173" s="35" t="s">
        <v>25</v>
      </c>
      <c r="D173" s="31" t="s">
        <v>22</v>
      </c>
      <c r="E173" s="35" t="s">
        <v>34</v>
      </c>
      <c r="F173" s="37" t="n">
        <v>46281</v>
      </c>
      <c r="G173" s="39" t="s">
        <v>290</v>
      </c>
    </row>
    <row r="176" customFormat="false" ht="15.75" hidden="false" customHeight="false" outlineLevel="0" collapsed="false">
      <c r="A176" s="24" t="s">
        <v>291</v>
      </c>
      <c r="B176" s="35" t="s">
        <v>20</v>
      </c>
      <c r="C176" s="35" t="s">
        <v>25</v>
      </c>
      <c r="D176" s="35" t="s">
        <v>22</v>
      </c>
      <c r="E176" s="35" t="s">
        <v>34</v>
      </c>
      <c r="F176" s="37" t="n">
        <v>46282</v>
      </c>
      <c r="G176" s="38" t="s">
        <v>41</v>
      </c>
    </row>
    <row r="177" customFormat="false" ht="15.75" hidden="false" customHeight="false" outlineLevel="0" collapsed="false">
      <c r="A177" s="24" t="s">
        <v>292</v>
      </c>
      <c r="B177" s="35" t="s">
        <v>20</v>
      </c>
      <c r="C177" s="35" t="s">
        <v>21</v>
      </c>
      <c r="D177" s="35" t="s">
        <v>22</v>
      </c>
      <c r="E177" s="35" t="s">
        <v>26</v>
      </c>
      <c r="F177" s="37" t="n">
        <v>46282</v>
      </c>
      <c r="G177" s="38"/>
    </row>
    <row r="178" customFormat="false" ht="15.75" hidden="false" customHeight="false" outlineLevel="0" collapsed="false">
      <c r="A178" s="24" t="s">
        <v>293</v>
      </c>
      <c r="B178" s="35" t="s">
        <v>20</v>
      </c>
      <c r="C178" s="35" t="s">
        <v>25</v>
      </c>
      <c r="D178" s="35" t="s">
        <v>22</v>
      </c>
      <c r="E178" s="35" t="s">
        <v>34</v>
      </c>
      <c r="F178" s="37" t="n">
        <v>46282</v>
      </c>
      <c r="G178" s="38"/>
    </row>
    <row r="179" customFormat="false" ht="15.75" hidden="false" customHeight="false" outlineLevel="0" collapsed="false">
      <c r="A179" s="24" t="s">
        <v>294</v>
      </c>
      <c r="B179" s="35" t="s">
        <v>20</v>
      </c>
      <c r="C179" s="35" t="s">
        <v>21</v>
      </c>
      <c r="D179" s="35" t="s">
        <v>22</v>
      </c>
      <c r="E179" s="35" t="s">
        <v>26</v>
      </c>
      <c r="F179" s="37" t="n">
        <v>46282</v>
      </c>
      <c r="G179" s="38"/>
    </row>
    <row r="180" customFormat="false" ht="15.75" hidden="false" customHeight="false" outlineLevel="0" collapsed="false">
      <c r="A180" s="24" t="s">
        <v>295</v>
      </c>
      <c r="B180" s="35" t="s">
        <v>20</v>
      </c>
      <c r="C180" s="35" t="s">
        <v>21</v>
      </c>
      <c r="D180" s="35" t="s">
        <v>22</v>
      </c>
      <c r="E180" s="35" t="s">
        <v>26</v>
      </c>
      <c r="F180" s="37" t="n">
        <v>46282</v>
      </c>
      <c r="G180" s="38" t="s">
        <v>90</v>
      </c>
    </row>
    <row r="181" customFormat="false" ht="15.75" hidden="false" customHeight="false" outlineLevel="0" collapsed="false">
      <c r="A181" s="24" t="s">
        <v>296</v>
      </c>
      <c r="B181" s="35" t="s">
        <v>20</v>
      </c>
      <c r="C181" s="35" t="s">
        <v>25</v>
      </c>
      <c r="D181" s="35" t="s">
        <v>22</v>
      </c>
      <c r="E181" s="35" t="s">
        <v>34</v>
      </c>
      <c r="F181" s="37" t="n">
        <v>46282</v>
      </c>
      <c r="G181" s="38"/>
    </row>
    <row r="182" customFormat="false" ht="15.75" hidden="false" customHeight="false" outlineLevel="0" collapsed="false">
      <c r="A182" s="24" t="s">
        <v>297</v>
      </c>
      <c r="B182" s="35" t="s">
        <v>20</v>
      </c>
      <c r="C182" s="35" t="s">
        <v>21</v>
      </c>
      <c r="D182" s="35" t="s">
        <v>22</v>
      </c>
      <c r="E182" s="35" t="s">
        <v>34</v>
      </c>
      <c r="F182" s="37" t="n">
        <v>46282</v>
      </c>
      <c r="G182" s="38" t="s">
        <v>298</v>
      </c>
    </row>
    <row r="183" customFormat="false" ht="15.75" hidden="false" customHeight="false" outlineLevel="0" collapsed="false">
      <c r="A183" s="24" t="s">
        <v>299</v>
      </c>
      <c r="B183" s="35" t="s">
        <v>20</v>
      </c>
      <c r="C183" s="35" t="s">
        <v>25</v>
      </c>
      <c r="D183" s="35" t="s">
        <v>22</v>
      </c>
      <c r="E183" s="35" t="s">
        <v>34</v>
      </c>
      <c r="F183" s="37" t="n">
        <v>46282</v>
      </c>
      <c r="G183" s="38"/>
    </row>
    <row r="184" customFormat="false" ht="15.75" hidden="false" customHeight="false" outlineLevel="0" collapsed="false">
      <c r="A184" s="24" t="s">
        <v>272</v>
      </c>
      <c r="B184" s="35" t="s">
        <v>20</v>
      </c>
      <c r="C184" s="35" t="s">
        <v>21</v>
      </c>
      <c r="D184" s="35" t="s">
        <v>22</v>
      </c>
      <c r="E184" s="35"/>
      <c r="F184" s="37" t="n">
        <v>46282</v>
      </c>
      <c r="G184" s="38"/>
    </row>
    <row r="185" customFormat="false" ht="15.75" hidden="false" customHeight="false" outlineLevel="0" collapsed="false">
      <c r="A185" s="24" t="s">
        <v>300</v>
      </c>
      <c r="B185" s="35" t="s">
        <v>20</v>
      </c>
      <c r="C185" s="35" t="s">
        <v>25</v>
      </c>
      <c r="D185" s="35" t="s">
        <v>22</v>
      </c>
      <c r="E185" s="35" t="s">
        <v>26</v>
      </c>
      <c r="F185" s="37" t="n">
        <v>46282</v>
      </c>
      <c r="G185" s="38"/>
    </row>
    <row r="186" customFormat="false" ht="15.75" hidden="false" customHeight="false" outlineLevel="0" collapsed="false">
      <c r="A186" s="24" t="s">
        <v>301</v>
      </c>
      <c r="B186" s="35" t="s">
        <v>20</v>
      </c>
      <c r="C186" s="35" t="s">
        <v>25</v>
      </c>
      <c r="D186" s="35" t="s">
        <v>22</v>
      </c>
      <c r="E186" s="35" t="s">
        <v>34</v>
      </c>
      <c r="F186" s="37" t="n">
        <v>46282</v>
      </c>
      <c r="G186" s="38"/>
    </row>
    <row r="187" customFormat="false" ht="15.75" hidden="false" customHeight="false" outlineLevel="0" collapsed="false">
      <c r="A187" s="24" t="s">
        <v>302</v>
      </c>
      <c r="B187" s="35" t="s">
        <v>302</v>
      </c>
      <c r="C187" s="35" t="s">
        <v>25</v>
      </c>
      <c r="D187" s="35" t="s">
        <v>22</v>
      </c>
      <c r="E187" s="35" t="s">
        <v>34</v>
      </c>
      <c r="F187" s="37" t="n">
        <v>46282</v>
      </c>
      <c r="G187" s="38" t="s">
        <v>38</v>
      </c>
    </row>
    <row r="190" customFormat="false" ht="15.75" hidden="false" customHeight="false" outlineLevel="0" collapsed="false">
      <c r="A190" s="23" t="s">
        <v>303</v>
      </c>
      <c r="B190" s="35" t="s">
        <v>20</v>
      </c>
      <c r="C190" s="35" t="s">
        <v>21</v>
      </c>
      <c r="D190" s="35" t="s">
        <v>22</v>
      </c>
      <c r="E190" s="35" t="s">
        <v>34</v>
      </c>
      <c r="F190" s="37" t="n">
        <v>46283</v>
      </c>
      <c r="G190" s="52" t="s">
        <v>304</v>
      </c>
    </row>
    <row r="191" customFormat="false" ht="15.75" hidden="false" customHeight="false" outlineLevel="0" collapsed="false">
      <c r="A191" s="23" t="s">
        <v>305</v>
      </c>
      <c r="B191" s="31" t="s">
        <v>20</v>
      </c>
      <c r="C191" s="35" t="s">
        <v>25</v>
      </c>
      <c r="D191" s="35" t="s">
        <v>22</v>
      </c>
      <c r="E191" s="35" t="s">
        <v>34</v>
      </c>
      <c r="F191" s="37" t="n">
        <v>46283</v>
      </c>
      <c r="G191" s="38" t="s">
        <v>64</v>
      </c>
    </row>
    <row r="192" customFormat="false" ht="15.75" hidden="false" customHeight="false" outlineLevel="0" collapsed="false">
      <c r="A192" s="23" t="s">
        <v>306</v>
      </c>
      <c r="B192" s="31" t="s">
        <v>20</v>
      </c>
      <c r="C192" s="35" t="s">
        <v>25</v>
      </c>
      <c r="D192" s="35" t="s">
        <v>22</v>
      </c>
      <c r="E192" s="35" t="s">
        <v>34</v>
      </c>
      <c r="F192" s="37" t="n">
        <v>46283</v>
      </c>
      <c r="G192" s="39"/>
    </row>
    <row r="193" customFormat="false" ht="15.75" hidden="false" customHeight="false" outlineLevel="0" collapsed="false">
      <c r="A193" s="23" t="s">
        <v>307</v>
      </c>
      <c r="B193" s="35" t="s">
        <v>20</v>
      </c>
      <c r="C193" s="35" t="s">
        <v>25</v>
      </c>
      <c r="D193" s="35" t="s">
        <v>22</v>
      </c>
      <c r="E193" s="31" t="s">
        <v>34</v>
      </c>
      <c r="F193" s="37" t="n">
        <v>46283</v>
      </c>
      <c r="G193" s="39"/>
    </row>
    <row r="194" customFormat="false" ht="15.75" hidden="false" customHeight="false" outlineLevel="0" collapsed="false">
      <c r="A194" s="23" t="s">
        <v>308</v>
      </c>
      <c r="B194" s="35" t="s">
        <v>82</v>
      </c>
      <c r="C194" s="35" t="s">
        <v>25</v>
      </c>
      <c r="D194" s="35" t="s">
        <v>22</v>
      </c>
      <c r="E194" s="35" t="s">
        <v>34</v>
      </c>
      <c r="F194" s="37" t="n">
        <v>46283</v>
      </c>
      <c r="G194" s="39"/>
    </row>
    <row r="195" customFormat="false" ht="15.75" hidden="false" customHeight="false" outlineLevel="0" collapsed="false">
      <c r="A195" s="23" t="s">
        <v>309</v>
      </c>
      <c r="B195" s="31" t="s">
        <v>20</v>
      </c>
      <c r="C195" s="35" t="s">
        <v>21</v>
      </c>
      <c r="D195" s="31" t="s">
        <v>22</v>
      </c>
      <c r="E195" s="35" t="s">
        <v>34</v>
      </c>
      <c r="F195" s="37" t="n">
        <v>46283</v>
      </c>
      <c r="G195" s="39" t="s">
        <v>38</v>
      </c>
    </row>
    <row r="196" customFormat="false" ht="15.75" hidden="false" customHeight="false" outlineLevel="0" collapsed="false">
      <c r="A196" s="23" t="s">
        <v>310</v>
      </c>
      <c r="B196" s="31" t="s">
        <v>20</v>
      </c>
      <c r="C196" s="35" t="s">
        <v>25</v>
      </c>
      <c r="D196" s="31" t="s">
        <v>22</v>
      </c>
      <c r="E196" s="35" t="s">
        <v>34</v>
      </c>
      <c r="F196" s="37" t="n">
        <v>46283</v>
      </c>
      <c r="G196" s="39" t="s">
        <v>38</v>
      </c>
    </row>
    <row r="197" customFormat="false" ht="15.75" hidden="false" customHeight="false" outlineLevel="0" collapsed="false">
      <c r="A197" s="23" t="s">
        <v>311</v>
      </c>
      <c r="B197" s="31" t="s">
        <v>312</v>
      </c>
      <c r="C197" s="35" t="s">
        <v>25</v>
      </c>
      <c r="D197" s="31" t="s">
        <v>22</v>
      </c>
      <c r="E197" s="35" t="s">
        <v>26</v>
      </c>
      <c r="F197" s="37" t="n">
        <v>46283</v>
      </c>
      <c r="G197" s="39"/>
    </row>
    <row r="198" customFormat="false" ht="15.75" hidden="false" customHeight="false" outlineLevel="0" collapsed="false">
      <c r="A198" s="23" t="s">
        <v>313</v>
      </c>
      <c r="B198" s="35" t="s">
        <v>314</v>
      </c>
      <c r="C198" s="35" t="s">
        <v>25</v>
      </c>
      <c r="D198" s="35" t="s">
        <v>22</v>
      </c>
      <c r="E198" s="35" t="s">
        <v>34</v>
      </c>
      <c r="F198" s="37" t="n">
        <v>46283</v>
      </c>
      <c r="G198" s="39"/>
    </row>
    <row r="199" customFormat="false" ht="15.75" hidden="false" customHeight="false" outlineLevel="0" collapsed="false">
      <c r="A199" s="23" t="s">
        <v>315</v>
      </c>
      <c r="B199" s="31" t="s">
        <v>20</v>
      </c>
      <c r="C199" s="35" t="s">
        <v>25</v>
      </c>
      <c r="D199" s="35" t="s">
        <v>22</v>
      </c>
      <c r="E199" s="35" t="s">
        <v>34</v>
      </c>
      <c r="F199" s="37" t="n">
        <v>46283</v>
      </c>
      <c r="G199" s="39"/>
    </row>
    <row r="200" customFormat="false" ht="15.75" hidden="false" customHeight="false" outlineLevel="0" collapsed="false">
      <c r="A200" s="23" t="s">
        <v>316</v>
      </c>
      <c r="B200" s="31" t="s">
        <v>20</v>
      </c>
      <c r="C200" s="35" t="s">
        <v>21</v>
      </c>
      <c r="D200" s="35" t="s">
        <v>22</v>
      </c>
      <c r="E200" s="35" t="s">
        <v>34</v>
      </c>
      <c r="F200" s="37" t="n">
        <v>46283</v>
      </c>
      <c r="G200" s="39"/>
    </row>
    <row r="201" customFormat="false" ht="15.75" hidden="false" customHeight="false" outlineLevel="0" collapsed="false">
      <c r="A201" s="23" t="s">
        <v>317</v>
      </c>
      <c r="B201" s="31" t="s">
        <v>20</v>
      </c>
      <c r="C201" s="35" t="s">
        <v>21</v>
      </c>
      <c r="D201" s="35" t="s">
        <v>22</v>
      </c>
      <c r="E201" s="35" t="s">
        <v>34</v>
      </c>
      <c r="F201" s="37" t="n">
        <v>46283</v>
      </c>
      <c r="G201" s="39"/>
    </row>
    <row r="202" customFormat="false" ht="15.75" hidden="false" customHeight="false" outlineLevel="0" collapsed="false">
      <c r="A202" s="24" t="s">
        <v>318</v>
      </c>
      <c r="B202" s="31" t="s">
        <v>20</v>
      </c>
      <c r="C202" s="35" t="s">
        <v>21</v>
      </c>
      <c r="D202" s="35" t="s">
        <v>22</v>
      </c>
      <c r="E202" s="35" t="s">
        <v>34</v>
      </c>
      <c r="F202" s="37" t="n">
        <v>46283</v>
      </c>
      <c r="G202" s="38" t="s">
        <v>41</v>
      </c>
    </row>
    <row r="203" customFormat="false" ht="15.75" hidden="false" customHeight="false" outlineLevel="0" collapsed="false">
      <c r="A203" s="48" t="s">
        <v>319</v>
      </c>
      <c r="B203" s="31" t="s">
        <v>20</v>
      </c>
      <c r="C203" s="35" t="s">
        <v>25</v>
      </c>
      <c r="D203" s="35" t="s">
        <v>22</v>
      </c>
      <c r="E203" s="35" t="s">
        <v>26</v>
      </c>
      <c r="F203" s="37" t="n">
        <v>46283</v>
      </c>
      <c r="G203" s="39" t="s">
        <v>38</v>
      </c>
    </row>
    <row r="204" customFormat="false" ht="15.75" hidden="false" customHeight="false" outlineLevel="0" collapsed="false">
      <c r="A204" s="48" t="s">
        <v>320</v>
      </c>
      <c r="B204" s="31" t="s">
        <v>321</v>
      </c>
      <c r="C204" s="35" t="s">
        <v>21</v>
      </c>
      <c r="D204" s="35" t="s">
        <v>22</v>
      </c>
      <c r="E204" s="35" t="s">
        <v>34</v>
      </c>
      <c r="F204" s="37" t="n">
        <v>46283</v>
      </c>
      <c r="G204" s="39" t="s">
        <v>322</v>
      </c>
    </row>
    <row r="205" customFormat="false" ht="15.75" hidden="false" customHeight="false" outlineLevel="0" collapsed="false">
      <c r="A205" s="48" t="s">
        <v>323</v>
      </c>
      <c r="B205" s="31" t="s">
        <v>20</v>
      </c>
      <c r="C205" s="35" t="s">
        <v>21</v>
      </c>
      <c r="D205" s="35" t="s">
        <v>22</v>
      </c>
      <c r="E205" s="35" t="s">
        <v>26</v>
      </c>
      <c r="F205" s="37" t="n">
        <v>46283</v>
      </c>
      <c r="G205" s="39" t="s">
        <v>27</v>
      </c>
    </row>
    <row r="206" customFormat="false" ht="15.75" hidden="false" customHeight="false" outlineLevel="0" collapsed="false">
      <c r="E206" s="35"/>
      <c r="F206" s="37"/>
      <c r="G206" s="39"/>
    </row>
    <row r="207" customFormat="false" ht="15.75" hidden="false" customHeight="false" outlineLevel="0" collapsed="false">
      <c r="A207" s="48"/>
      <c r="B207" s="31"/>
      <c r="C207" s="35"/>
      <c r="D207" s="35"/>
      <c r="E207" s="35"/>
      <c r="F207" s="37"/>
      <c r="G207" s="39"/>
    </row>
    <row r="208" customFormat="false" ht="15.75" hidden="false" customHeight="false" outlineLevel="0" collapsed="false">
      <c r="A208" s="48"/>
      <c r="B208" s="31"/>
      <c r="C208" s="35"/>
      <c r="D208" s="35"/>
      <c r="E208" s="35"/>
      <c r="F208" s="37"/>
      <c r="G208" s="39"/>
    </row>
    <row r="211" customFormat="false" ht="15.75" hidden="false" customHeight="false" outlineLevel="0" collapsed="false">
      <c r="A211" s="51" t="s">
        <v>324</v>
      </c>
      <c r="B211" s="31" t="s">
        <v>325</v>
      </c>
      <c r="C211" s="31" t="s">
        <v>326</v>
      </c>
      <c r="D211" s="31" t="s">
        <v>22</v>
      </c>
      <c r="E211" s="31" t="s">
        <v>34</v>
      </c>
      <c r="F211" s="53" t="n">
        <v>46285</v>
      </c>
      <c r="G211" s="31" t="s">
        <v>327</v>
      </c>
    </row>
    <row r="212" customFormat="false" ht="15.75" hidden="false" customHeight="false" outlineLevel="0" collapsed="false">
      <c r="A212" s="51" t="s">
        <v>328</v>
      </c>
      <c r="B212" s="31" t="s">
        <v>20</v>
      </c>
      <c r="C212" s="31" t="s">
        <v>329</v>
      </c>
      <c r="D212" s="31" t="s">
        <v>22</v>
      </c>
      <c r="E212" s="31" t="s">
        <v>34</v>
      </c>
      <c r="F212" s="53" t="n">
        <v>46285</v>
      </c>
      <c r="G212" s="31" t="s">
        <v>38</v>
      </c>
    </row>
    <row r="213" customFormat="false" ht="15.75" hidden="false" customHeight="false" outlineLevel="0" collapsed="false">
      <c r="A213" s="51" t="s">
        <v>330</v>
      </c>
      <c r="B213" s="31" t="s">
        <v>20</v>
      </c>
      <c r="C213" s="31" t="s">
        <v>326</v>
      </c>
      <c r="D213" s="31" t="s">
        <v>22</v>
      </c>
      <c r="E213" s="31" t="s">
        <v>34</v>
      </c>
      <c r="F213" s="53" t="n">
        <v>46285</v>
      </c>
      <c r="G213" s="31" t="s">
        <v>331</v>
      </c>
    </row>
    <row r="214" customFormat="false" ht="15.75" hidden="false" customHeight="false" outlineLevel="0" collapsed="false">
      <c r="A214" s="51" t="s">
        <v>332</v>
      </c>
      <c r="B214" s="31" t="s">
        <v>325</v>
      </c>
      <c r="C214" s="31" t="s">
        <v>326</v>
      </c>
      <c r="D214" s="31" t="s">
        <v>22</v>
      </c>
      <c r="E214" s="31" t="s">
        <v>34</v>
      </c>
      <c r="F214" s="53" t="n">
        <v>46285</v>
      </c>
      <c r="G214" s="31" t="s">
        <v>327</v>
      </c>
    </row>
    <row r="215" customFormat="false" ht="15.75" hidden="false" customHeight="false" outlineLevel="0" collapsed="false">
      <c r="A215" s="51" t="s">
        <v>333</v>
      </c>
      <c r="B215" s="31" t="s">
        <v>20</v>
      </c>
      <c r="C215" s="31" t="s">
        <v>334</v>
      </c>
      <c r="D215" s="31" t="s">
        <v>22</v>
      </c>
      <c r="E215" s="31" t="s">
        <v>34</v>
      </c>
      <c r="F215" s="53" t="n">
        <v>46285</v>
      </c>
      <c r="G215" s="31" t="s">
        <v>38</v>
      </c>
    </row>
    <row r="216" customFormat="false" ht="15.75" hidden="false" customHeight="false" outlineLevel="0" collapsed="false">
      <c r="A216" s="51" t="s">
        <v>335</v>
      </c>
      <c r="B216" s="31" t="s">
        <v>20</v>
      </c>
      <c r="C216" s="31" t="s">
        <v>336</v>
      </c>
      <c r="D216" s="31" t="s">
        <v>22</v>
      </c>
      <c r="E216" s="31" t="s">
        <v>34</v>
      </c>
      <c r="F216" s="53" t="n">
        <v>46285</v>
      </c>
      <c r="G216" s="31" t="s">
        <v>337</v>
      </c>
    </row>
    <row r="217" customFormat="false" ht="15.75" hidden="false" customHeight="false" outlineLevel="0" collapsed="false">
      <c r="A217" s="51" t="s">
        <v>338</v>
      </c>
      <c r="B217" s="31" t="s">
        <v>20</v>
      </c>
      <c r="C217" s="31" t="s">
        <v>25</v>
      </c>
      <c r="D217" s="31" t="s">
        <v>22</v>
      </c>
      <c r="E217" s="31" t="s">
        <v>26</v>
      </c>
      <c r="F217" s="53" t="n">
        <v>46285</v>
      </c>
      <c r="G217" s="31" t="s">
        <v>27</v>
      </c>
    </row>
    <row r="218" customFormat="false" ht="15.75" hidden="false" customHeight="false" outlineLevel="0" collapsed="false">
      <c r="A218" s="51" t="s">
        <v>339</v>
      </c>
      <c r="B218" s="31" t="s">
        <v>20</v>
      </c>
      <c r="C218" s="31" t="s">
        <v>21</v>
      </c>
      <c r="D218" s="31" t="s">
        <v>22</v>
      </c>
      <c r="E218" s="31" t="s">
        <v>34</v>
      </c>
      <c r="F218" s="53" t="n">
        <v>46285</v>
      </c>
      <c r="G218" s="31" t="s">
        <v>38</v>
      </c>
    </row>
    <row r="219" customFormat="false" ht="15.75" hidden="false" customHeight="false" outlineLevel="0" collapsed="false">
      <c r="A219" s="51" t="s">
        <v>340</v>
      </c>
      <c r="B219" s="31" t="s">
        <v>20</v>
      </c>
      <c r="C219" s="31" t="s">
        <v>25</v>
      </c>
      <c r="D219" s="31" t="s">
        <v>22</v>
      </c>
      <c r="E219" s="31" t="s">
        <v>26</v>
      </c>
      <c r="F219" s="53" t="n">
        <v>46285</v>
      </c>
      <c r="G219" s="31"/>
    </row>
    <row r="220" customFormat="false" ht="15.75" hidden="false" customHeight="false" outlineLevel="0" collapsed="false">
      <c r="A220" s="51" t="s">
        <v>341</v>
      </c>
      <c r="B220" s="31" t="s">
        <v>342</v>
      </c>
      <c r="C220" s="31" t="s">
        <v>21</v>
      </c>
      <c r="D220" s="31" t="s">
        <v>22</v>
      </c>
      <c r="E220" s="31" t="s">
        <v>34</v>
      </c>
      <c r="F220" s="53" t="n">
        <v>46285</v>
      </c>
      <c r="G220" s="31" t="s">
        <v>27</v>
      </c>
    </row>
    <row r="221" customFormat="false" ht="15.75" hidden="false" customHeight="false" outlineLevel="0" collapsed="false">
      <c r="A221" s="51" t="s">
        <v>343</v>
      </c>
      <c r="B221" s="31" t="s">
        <v>20</v>
      </c>
      <c r="C221" s="31" t="s">
        <v>25</v>
      </c>
      <c r="D221" s="31" t="s">
        <v>22</v>
      </c>
      <c r="E221" s="31" t="s">
        <v>34</v>
      </c>
      <c r="F221" s="53" t="n">
        <v>46285</v>
      </c>
      <c r="G221" s="31" t="s">
        <v>290</v>
      </c>
    </row>
    <row r="222" customFormat="false" ht="15.75" hidden="false" customHeight="false" outlineLevel="0" collapsed="false">
      <c r="A222" s="51" t="s">
        <v>344</v>
      </c>
      <c r="B222" s="31" t="s">
        <v>20</v>
      </c>
      <c r="C222" s="31" t="s">
        <v>182</v>
      </c>
      <c r="D222" s="31" t="s">
        <v>22</v>
      </c>
      <c r="E222" s="31" t="s">
        <v>34</v>
      </c>
      <c r="F222" s="53" t="n">
        <v>46285</v>
      </c>
      <c r="G222" s="31" t="s">
        <v>345</v>
      </c>
    </row>
    <row r="223" customFormat="false" ht="15.75" hidden="false" customHeight="false" outlineLevel="0" collapsed="false">
      <c r="A223" s="51" t="s">
        <v>346</v>
      </c>
      <c r="B223" s="31" t="s">
        <v>20</v>
      </c>
      <c r="C223" s="31" t="s">
        <v>25</v>
      </c>
      <c r="D223" s="31" t="s">
        <v>22</v>
      </c>
      <c r="E223" s="31" t="s">
        <v>26</v>
      </c>
      <c r="F223" s="53" t="n">
        <v>46285</v>
      </c>
      <c r="G223" s="31"/>
    </row>
    <row r="224" customFormat="false" ht="15.75" hidden="false" customHeight="false" outlineLevel="0" collapsed="false">
      <c r="A224" s="51" t="s">
        <v>347</v>
      </c>
      <c r="B224" s="31" t="s">
        <v>20</v>
      </c>
      <c r="C224" s="31" t="s">
        <v>21</v>
      </c>
      <c r="D224" s="31" t="s">
        <v>22</v>
      </c>
      <c r="E224" s="31" t="s">
        <v>34</v>
      </c>
      <c r="F224" s="53" t="n">
        <v>46285</v>
      </c>
      <c r="G224" s="31" t="s">
        <v>348</v>
      </c>
    </row>
    <row r="225" customFormat="false" ht="15.75" hidden="false" customHeight="false" outlineLevel="0" collapsed="false">
      <c r="A225" s="51" t="s">
        <v>349</v>
      </c>
      <c r="B225" s="31" t="s">
        <v>20</v>
      </c>
      <c r="C225" s="31" t="s">
        <v>21</v>
      </c>
      <c r="D225" s="31" t="s">
        <v>22</v>
      </c>
      <c r="E225" s="31" t="s">
        <v>34</v>
      </c>
      <c r="F225" s="53" t="n">
        <v>46285</v>
      </c>
      <c r="G225" s="31" t="s">
        <v>350</v>
      </c>
    </row>
    <row r="226" customFormat="false" ht="15.75" hidden="false" customHeight="false" outlineLevel="0" collapsed="false">
      <c r="A226" s="51" t="s">
        <v>351</v>
      </c>
      <c r="B226" s="31" t="s">
        <v>20</v>
      </c>
      <c r="C226" s="31" t="s">
        <v>21</v>
      </c>
      <c r="D226" s="31" t="s">
        <v>22</v>
      </c>
      <c r="E226" s="31" t="s">
        <v>34</v>
      </c>
      <c r="F226" s="53" t="n">
        <v>46285</v>
      </c>
      <c r="G226" s="31"/>
    </row>
    <row r="227" customFormat="false" ht="15.75" hidden="false" customHeight="false" outlineLevel="0" collapsed="false">
      <c r="A227" s="51" t="s">
        <v>352</v>
      </c>
      <c r="B227" s="31" t="s">
        <v>20</v>
      </c>
      <c r="C227" s="31" t="s">
        <v>21</v>
      </c>
      <c r="D227" s="31" t="s">
        <v>22</v>
      </c>
      <c r="E227" s="31" t="s">
        <v>34</v>
      </c>
      <c r="F227" s="53" t="n">
        <v>46285</v>
      </c>
      <c r="G227" s="31" t="s">
        <v>353</v>
      </c>
    </row>
    <row r="228" customFormat="false" ht="15.75" hidden="false" customHeight="false" outlineLevel="0" collapsed="false">
      <c r="A228" s="51" t="s">
        <v>354</v>
      </c>
      <c r="B228" s="31" t="s">
        <v>355</v>
      </c>
      <c r="C228" s="31" t="s">
        <v>25</v>
      </c>
      <c r="D228" s="31" t="s">
        <v>22</v>
      </c>
      <c r="E228" s="31" t="s">
        <v>34</v>
      </c>
      <c r="F228" s="53" t="n">
        <v>46285</v>
      </c>
      <c r="G228" s="31"/>
    </row>
    <row r="229" customFormat="false" ht="15.75" hidden="false" customHeight="false" outlineLevel="0" collapsed="false">
      <c r="A229" s="51" t="s">
        <v>356</v>
      </c>
      <c r="B229" s="31" t="s">
        <v>357</v>
      </c>
      <c r="C229" s="31" t="s">
        <v>326</v>
      </c>
      <c r="D229" s="31" t="s">
        <v>22</v>
      </c>
      <c r="E229" s="31" t="s">
        <v>34</v>
      </c>
      <c r="F229" s="53" t="n">
        <v>46285</v>
      </c>
      <c r="G229" s="31" t="s">
        <v>358</v>
      </c>
    </row>
    <row r="230" customFormat="false" ht="15.75" hidden="false" customHeight="false" outlineLevel="0" collapsed="false">
      <c r="A230" s="51" t="s">
        <v>359</v>
      </c>
      <c r="B230" s="31" t="s">
        <v>357</v>
      </c>
      <c r="C230" s="31" t="s">
        <v>326</v>
      </c>
      <c r="D230" s="31" t="s">
        <v>22</v>
      </c>
      <c r="E230" s="31" t="s">
        <v>34</v>
      </c>
      <c r="F230" s="53" t="n">
        <v>46285</v>
      </c>
      <c r="G230" s="31" t="s">
        <v>358</v>
      </c>
    </row>
    <row r="231" customFormat="false" ht="15.75" hidden="false" customHeight="false" outlineLevel="0" collapsed="false">
      <c r="A231" s="51" t="s">
        <v>360</v>
      </c>
      <c r="B231" s="31" t="s">
        <v>357</v>
      </c>
      <c r="C231" s="31" t="s">
        <v>326</v>
      </c>
      <c r="D231" s="31" t="s">
        <v>22</v>
      </c>
      <c r="E231" s="31" t="s">
        <v>34</v>
      </c>
      <c r="F231" s="53" t="n">
        <v>46285</v>
      </c>
      <c r="G231" s="31" t="s">
        <v>358</v>
      </c>
    </row>
    <row r="232" customFormat="false" ht="15.75" hidden="false" customHeight="false" outlineLevel="0" collapsed="false">
      <c r="A232" s="51" t="s">
        <v>361</v>
      </c>
      <c r="B232" s="31" t="s">
        <v>357</v>
      </c>
      <c r="C232" s="31" t="s">
        <v>326</v>
      </c>
      <c r="D232" s="31" t="s">
        <v>22</v>
      </c>
      <c r="E232" s="31" t="s">
        <v>34</v>
      </c>
      <c r="F232" s="53" t="n">
        <v>46285</v>
      </c>
      <c r="G232" s="31" t="s">
        <v>358</v>
      </c>
    </row>
    <row r="233" customFormat="false" ht="15.75" hidden="false" customHeight="false" outlineLevel="0" collapsed="false">
      <c r="A233" s="51" t="s">
        <v>362</v>
      </c>
      <c r="B233" s="31" t="s">
        <v>20</v>
      </c>
      <c r="C233" s="31" t="s">
        <v>25</v>
      </c>
      <c r="D233" s="31" t="s">
        <v>22</v>
      </c>
      <c r="E233" s="31" t="s">
        <v>26</v>
      </c>
      <c r="F233" s="53" t="n">
        <v>46285</v>
      </c>
      <c r="G233" s="31" t="s">
        <v>71</v>
      </c>
    </row>
    <row r="234" customFormat="false" ht="15.75" hidden="false" customHeight="false" outlineLevel="0" collapsed="false">
      <c r="A234" s="51" t="s">
        <v>363</v>
      </c>
      <c r="B234" s="31" t="s">
        <v>20</v>
      </c>
      <c r="C234" s="31" t="s">
        <v>21</v>
      </c>
      <c r="D234" s="31" t="s">
        <v>22</v>
      </c>
      <c r="E234" s="31" t="s">
        <v>34</v>
      </c>
      <c r="F234" s="53" t="n">
        <v>46285</v>
      </c>
      <c r="G234" s="31" t="s">
        <v>364</v>
      </c>
    </row>
    <row r="235" customFormat="false" ht="15.75" hidden="false" customHeight="false" outlineLevel="0" collapsed="false">
      <c r="A235" s="51" t="s">
        <v>365</v>
      </c>
      <c r="B235" s="31" t="s">
        <v>20</v>
      </c>
      <c r="C235" s="31" t="s">
        <v>21</v>
      </c>
      <c r="D235" s="31" t="s">
        <v>22</v>
      </c>
      <c r="E235" s="31" t="s">
        <v>34</v>
      </c>
      <c r="F235" s="53" t="n">
        <v>46285</v>
      </c>
      <c r="G235" s="31" t="s">
        <v>71</v>
      </c>
    </row>
    <row r="236" customFormat="false" ht="15.75" hidden="false" customHeight="false" outlineLevel="0" collapsed="false">
      <c r="A236" s="51" t="s">
        <v>366</v>
      </c>
      <c r="B236" s="31" t="s">
        <v>20</v>
      </c>
      <c r="C236" s="31" t="s">
        <v>21</v>
      </c>
      <c r="D236" s="31" t="s">
        <v>22</v>
      </c>
      <c r="E236" s="31" t="s">
        <v>34</v>
      </c>
      <c r="F236" s="53" t="n">
        <v>46285</v>
      </c>
      <c r="G236" s="31"/>
    </row>
    <row r="237" customFormat="false" ht="15.75" hidden="false" customHeight="false" outlineLevel="0" collapsed="false">
      <c r="A237" s="51" t="s">
        <v>367</v>
      </c>
      <c r="B237" s="31" t="s">
        <v>20</v>
      </c>
      <c r="C237" s="31" t="s">
        <v>21</v>
      </c>
      <c r="D237" s="31" t="s">
        <v>22</v>
      </c>
      <c r="E237" s="31" t="s">
        <v>34</v>
      </c>
      <c r="F237" s="53" t="n">
        <v>46285</v>
      </c>
      <c r="G237" s="31" t="s">
        <v>27</v>
      </c>
    </row>
    <row r="238" customFormat="false" ht="15.75" hidden="false" customHeight="false" outlineLevel="0" collapsed="false">
      <c r="A238" s="51" t="s">
        <v>368</v>
      </c>
      <c r="B238" s="31" t="s">
        <v>20</v>
      </c>
      <c r="C238" s="31" t="s">
        <v>25</v>
      </c>
      <c r="D238" s="31" t="s">
        <v>22</v>
      </c>
      <c r="E238" s="31" t="s">
        <v>34</v>
      </c>
      <c r="F238" s="53" t="n">
        <v>46285</v>
      </c>
      <c r="G238" s="31" t="s">
        <v>27</v>
      </c>
    </row>
    <row r="239" customFormat="false" ht="15.75" hidden="false" customHeight="false" outlineLevel="0" collapsed="false">
      <c r="A239" s="51" t="s">
        <v>369</v>
      </c>
      <c r="B239" s="31" t="s">
        <v>20</v>
      </c>
      <c r="C239" s="31" t="s">
        <v>21</v>
      </c>
      <c r="D239" s="31" t="s">
        <v>22</v>
      </c>
      <c r="E239" s="31" t="s">
        <v>34</v>
      </c>
      <c r="F239" s="53" t="n">
        <v>46285</v>
      </c>
      <c r="G239" s="31" t="s">
        <v>27</v>
      </c>
    </row>
    <row r="240" customFormat="false" ht="15.75" hidden="false" customHeight="false" outlineLevel="0" collapsed="false">
      <c r="A240" s="51" t="s">
        <v>370</v>
      </c>
      <c r="B240" s="31" t="s">
        <v>20</v>
      </c>
      <c r="C240" s="31" t="s">
        <v>21</v>
      </c>
      <c r="D240" s="31" t="s">
        <v>22</v>
      </c>
      <c r="E240" s="31" t="s">
        <v>34</v>
      </c>
      <c r="F240" s="53" t="n">
        <v>46285</v>
      </c>
      <c r="G240" s="31" t="s">
        <v>364</v>
      </c>
    </row>
    <row r="241" customFormat="false" ht="15.75" hidden="false" customHeight="false" outlineLevel="0" collapsed="false">
      <c r="A241" s="51" t="s">
        <v>371</v>
      </c>
      <c r="B241" s="31" t="s">
        <v>117</v>
      </c>
      <c r="C241" s="31" t="s">
        <v>25</v>
      </c>
      <c r="D241" s="31" t="s">
        <v>22</v>
      </c>
      <c r="E241" s="31" t="s">
        <v>34</v>
      </c>
      <c r="F241" s="53" t="n">
        <v>46285</v>
      </c>
      <c r="G241" s="31" t="s">
        <v>372</v>
      </c>
    </row>
    <row r="242" customFormat="false" ht="15.75" hidden="false" customHeight="false" outlineLevel="0" collapsed="false">
      <c r="A242" s="51" t="s">
        <v>373</v>
      </c>
      <c r="B242" s="31" t="s">
        <v>56</v>
      </c>
      <c r="C242" s="31" t="s">
        <v>25</v>
      </c>
      <c r="D242" s="31" t="s">
        <v>22</v>
      </c>
      <c r="E242" s="31" t="s">
        <v>34</v>
      </c>
      <c r="F242" s="53" t="n">
        <v>46285</v>
      </c>
      <c r="G242" s="31" t="s">
        <v>27</v>
      </c>
    </row>
    <row r="243" customFormat="false" ht="15.75" hidden="false" customHeight="false" outlineLevel="0" collapsed="false">
      <c r="A243" s="51" t="s">
        <v>374</v>
      </c>
      <c r="B243" s="31" t="s">
        <v>375</v>
      </c>
      <c r="C243" s="31" t="s">
        <v>25</v>
      </c>
      <c r="D243" s="31" t="s">
        <v>22</v>
      </c>
      <c r="E243" s="31" t="s">
        <v>34</v>
      </c>
      <c r="F243" s="53" t="n">
        <v>46285</v>
      </c>
      <c r="G243" s="31"/>
    </row>
    <row r="244" customFormat="false" ht="15.75" hidden="false" customHeight="false" outlineLevel="0" collapsed="false">
      <c r="A244" s="51" t="s">
        <v>376</v>
      </c>
      <c r="B244" s="31" t="s">
        <v>20</v>
      </c>
      <c r="C244" s="31" t="s">
        <v>21</v>
      </c>
      <c r="D244" s="31" t="s">
        <v>22</v>
      </c>
      <c r="E244" s="31" t="s">
        <v>34</v>
      </c>
      <c r="F244" s="53" t="n">
        <v>46285</v>
      </c>
      <c r="G244" s="31" t="s">
        <v>377</v>
      </c>
    </row>
    <row r="245" customFormat="false" ht="15.75" hidden="false" customHeight="false" outlineLevel="0" collapsed="false">
      <c r="A245" s="51" t="s">
        <v>378</v>
      </c>
      <c r="B245" s="31" t="s">
        <v>20</v>
      </c>
      <c r="C245" s="31" t="s">
        <v>21</v>
      </c>
      <c r="D245" s="31" t="s">
        <v>22</v>
      </c>
      <c r="E245" s="31" t="s">
        <v>34</v>
      </c>
      <c r="F245" s="53" t="n">
        <v>46285</v>
      </c>
      <c r="G245" s="31" t="s">
        <v>38</v>
      </c>
    </row>
    <row r="246" customFormat="false" ht="15.75" hidden="false" customHeight="false" outlineLevel="0" collapsed="false">
      <c r="A246" s="51" t="s">
        <v>379</v>
      </c>
      <c r="B246" s="31" t="s">
        <v>20</v>
      </c>
      <c r="C246" s="31" t="s">
        <v>21</v>
      </c>
      <c r="D246" s="31" t="s">
        <v>22</v>
      </c>
      <c r="E246" s="31" t="s">
        <v>34</v>
      </c>
      <c r="F246" s="53" t="n">
        <v>46285</v>
      </c>
      <c r="G246" s="31" t="s">
        <v>90</v>
      </c>
    </row>
    <row r="247" customFormat="false" ht="15.75" hidden="false" customHeight="false" outlineLevel="0" collapsed="false">
      <c r="A247" s="51" t="s">
        <v>380</v>
      </c>
      <c r="B247" s="31" t="s">
        <v>20</v>
      </c>
      <c r="C247" s="31" t="s">
        <v>25</v>
      </c>
      <c r="D247" s="31" t="s">
        <v>22</v>
      </c>
      <c r="E247" s="31" t="s">
        <v>34</v>
      </c>
      <c r="F247" s="53" t="n">
        <v>46285</v>
      </c>
      <c r="G247" s="31"/>
    </row>
    <row r="248" customFormat="false" ht="15.75" hidden="false" customHeight="false" outlineLevel="0" collapsed="false">
      <c r="A248" s="51" t="s">
        <v>381</v>
      </c>
      <c r="B248" s="31" t="s">
        <v>20</v>
      </c>
      <c r="C248" s="31" t="s">
        <v>182</v>
      </c>
      <c r="D248" s="31" t="s">
        <v>22</v>
      </c>
      <c r="E248" s="31" t="s">
        <v>34</v>
      </c>
      <c r="F248" s="53" t="n">
        <v>46285</v>
      </c>
      <c r="G248" s="31" t="s">
        <v>382</v>
      </c>
    </row>
    <row r="249" customFormat="false" ht="15.75" hidden="false" customHeight="false" outlineLevel="0" collapsed="false">
      <c r="A249" s="51" t="s">
        <v>383</v>
      </c>
      <c r="B249" s="31" t="s">
        <v>20</v>
      </c>
      <c r="C249" s="31" t="s">
        <v>182</v>
      </c>
      <c r="D249" s="31" t="s">
        <v>22</v>
      </c>
      <c r="E249" s="31" t="s">
        <v>34</v>
      </c>
      <c r="F249" s="53" t="n">
        <v>46285</v>
      </c>
      <c r="G249" s="31" t="s">
        <v>384</v>
      </c>
    </row>
    <row r="250" customFormat="false" ht="15.75" hidden="false" customHeight="false" outlineLevel="0" collapsed="false">
      <c r="A250" s="51" t="s">
        <v>385</v>
      </c>
      <c r="B250" s="31" t="s">
        <v>20</v>
      </c>
      <c r="C250" s="31" t="s">
        <v>182</v>
      </c>
      <c r="D250" s="31" t="s">
        <v>22</v>
      </c>
      <c r="E250" s="31" t="s">
        <v>34</v>
      </c>
      <c r="F250" s="53" t="n">
        <v>46285</v>
      </c>
      <c r="G250" s="31" t="s">
        <v>350</v>
      </c>
    </row>
    <row r="251" customFormat="false" ht="15.75" hidden="false" customHeight="false" outlineLevel="0" collapsed="false">
      <c r="A251" s="51" t="s">
        <v>386</v>
      </c>
      <c r="B251" s="31" t="s">
        <v>20</v>
      </c>
      <c r="C251" s="31" t="s">
        <v>182</v>
      </c>
      <c r="D251" s="31" t="s">
        <v>22</v>
      </c>
      <c r="E251" s="31" t="s">
        <v>34</v>
      </c>
      <c r="F251" s="53" t="n">
        <v>46285</v>
      </c>
      <c r="G251" s="31" t="s">
        <v>350</v>
      </c>
    </row>
    <row r="252" customFormat="false" ht="15.75" hidden="false" customHeight="false" outlineLevel="0" collapsed="false">
      <c r="A252" s="51" t="s">
        <v>387</v>
      </c>
      <c r="B252" s="31" t="s">
        <v>20</v>
      </c>
      <c r="C252" s="31" t="s">
        <v>25</v>
      </c>
      <c r="D252" s="31" t="s">
        <v>22</v>
      </c>
      <c r="E252" s="31" t="s">
        <v>34</v>
      </c>
      <c r="F252" s="53" t="n">
        <v>46285</v>
      </c>
      <c r="G252" s="31"/>
    </row>
    <row r="253" customFormat="false" ht="15.75" hidden="false" customHeight="false" outlineLevel="0" collapsed="false">
      <c r="A253" s="51" t="s">
        <v>388</v>
      </c>
      <c r="B253" s="31" t="s">
        <v>20</v>
      </c>
      <c r="C253" s="31" t="s">
        <v>182</v>
      </c>
      <c r="D253" s="31" t="s">
        <v>22</v>
      </c>
      <c r="E253" s="31" t="s">
        <v>34</v>
      </c>
      <c r="F253" s="53" t="n">
        <v>46285</v>
      </c>
      <c r="G253" s="31" t="s">
        <v>389</v>
      </c>
    </row>
    <row r="254" customFormat="false" ht="15.75" hidden="false" customHeight="false" outlineLevel="0" collapsed="false">
      <c r="A254" s="51" t="s">
        <v>390</v>
      </c>
      <c r="B254" s="31" t="s">
        <v>20</v>
      </c>
      <c r="C254" s="31" t="s">
        <v>182</v>
      </c>
      <c r="D254" s="31" t="s">
        <v>22</v>
      </c>
      <c r="E254" s="31" t="s">
        <v>34</v>
      </c>
      <c r="F254" s="53" t="n">
        <v>46285</v>
      </c>
      <c r="G254" s="31" t="s">
        <v>350</v>
      </c>
    </row>
    <row r="255" customFormat="false" ht="15.75" hidden="false" customHeight="false" outlineLevel="0" collapsed="false">
      <c r="A255" s="51" t="s">
        <v>391</v>
      </c>
      <c r="B255" s="31" t="s">
        <v>20</v>
      </c>
      <c r="C255" s="31" t="s">
        <v>182</v>
      </c>
      <c r="D255" s="31" t="s">
        <v>22</v>
      </c>
      <c r="E255" s="31" t="s">
        <v>34</v>
      </c>
      <c r="F255" s="53" t="n">
        <v>46285</v>
      </c>
      <c r="G255" s="31"/>
    </row>
    <row r="256" customFormat="false" ht="15.75" hidden="false" customHeight="false" outlineLevel="0" collapsed="false">
      <c r="A256" s="51" t="s">
        <v>392</v>
      </c>
      <c r="B256" s="31" t="s">
        <v>20</v>
      </c>
      <c r="C256" s="31" t="s">
        <v>182</v>
      </c>
      <c r="D256" s="31" t="s">
        <v>22</v>
      </c>
      <c r="E256" s="31" t="s">
        <v>34</v>
      </c>
      <c r="F256" s="53" t="n">
        <v>46285</v>
      </c>
      <c r="G256" s="31" t="s">
        <v>350</v>
      </c>
    </row>
    <row r="257" customFormat="false" ht="15.75" hidden="false" customHeight="false" outlineLevel="0" collapsed="false">
      <c r="A257" s="51" t="s">
        <v>393</v>
      </c>
      <c r="B257" s="31" t="s">
        <v>20</v>
      </c>
      <c r="C257" s="31" t="s">
        <v>21</v>
      </c>
      <c r="D257" s="31" t="s">
        <v>22</v>
      </c>
      <c r="E257" s="31" t="s">
        <v>34</v>
      </c>
      <c r="F257" s="53" t="n">
        <v>46285</v>
      </c>
      <c r="G257" s="31" t="s">
        <v>394</v>
      </c>
    </row>
    <row r="258" customFormat="false" ht="15.75" hidden="false" customHeight="false" outlineLevel="0" collapsed="false">
      <c r="A258" s="51" t="s">
        <v>395</v>
      </c>
      <c r="B258" s="31" t="s">
        <v>20</v>
      </c>
      <c r="C258" s="31" t="s">
        <v>21</v>
      </c>
      <c r="D258" s="31" t="s">
        <v>22</v>
      </c>
      <c r="E258" s="31" t="s">
        <v>34</v>
      </c>
      <c r="F258" s="53" t="n">
        <v>46285</v>
      </c>
      <c r="G258" s="31" t="s">
        <v>396</v>
      </c>
    </row>
    <row r="259" customFormat="false" ht="15.75" hidden="false" customHeight="false" outlineLevel="0" collapsed="false">
      <c r="A259" s="51" t="s">
        <v>397</v>
      </c>
      <c r="B259" s="31" t="s">
        <v>398</v>
      </c>
      <c r="C259" s="31" t="s">
        <v>25</v>
      </c>
      <c r="D259" s="31" t="s">
        <v>22</v>
      </c>
      <c r="E259" s="31" t="s">
        <v>26</v>
      </c>
      <c r="F259" s="53" t="n">
        <v>46285</v>
      </c>
      <c r="G259" s="31" t="s">
        <v>90</v>
      </c>
    </row>
    <row r="260" customFormat="false" ht="15.75" hidden="false" customHeight="false" outlineLevel="0" collapsed="false">
      <c r="A260" s="51" t="s">
        <v>399</v>
      </c>
      <c r="B260" s="31" t="s">
        <v>400</v>
      </c>
      <c r="C260" s="31" t="s">
        <v>25</v>
      </c>
      <c r="D260" s="31" t="s">
        <v>22</v>
      </c>
      <c r="E260" s="31" t="s">
        <v>26</v>
      </c>
      <c r="F260" s="53" t="n">
        <v>46285</v>
      </c>
      <c r="G260" s="31" t="s">
        <v>401</v>
      </c>
    </row>
    <row r="261" customFormat="false" ht="15.75" hidden="false" customHeight="false" outlineLevel="0" collapsed="false">
      <c r="A261" s="51" t="s">
        <v>402</v>
      </c>
      <c r="B261" s="31" t="s">
        <v>20</v>
      </c>
      <c r="C261" s="31" t="s">
        <v>25</v>
      </c>
      <c r="D261" s="31" t="s">
        <v>22</v>
      </c>
      <c r="E261" s="31" t="s">
        <v>26</v>
      </c>
      <c r="F261" s="53" t="n">
        <v>46285</v>
      </c>
      <c r="G261" s="31" t="s">
        <v>403</v>
      </c>
    </row>
    <row r="262" customFormat="false" ht="15.75" hidden="false" customHeight="false" outlineLevel="0" collapsed="false">
      <c r="A262" s="51" t="s">
        <v>404</v>
      </c>
      <c r="B262" s="31" t="s">
        <v>405</v>
      </c>
      <c r="C262" s="31" t="s">
        <v>336</v>
      </c>
      <c r="D262" s="31" t="s">
        <v>22</v>
      </c>
      <c r="E262" s="31" t="s">
        <v>29</v>
      </c>
      <c r="F262" s="53" t="n">
        <v>46285</v>
      </c>
      <c r="G262" s="31"/>
    </row>
    <row r="263" customFormat="false" ht="15.75" hidden="false" customHeight="false" outlineLevel="0" collapsed="false">
      <c r="A263" s="51" t="s">
        <v>406</v>
      </c>
      <c r="B263" s="31" t="s">
        <v>407</v>
      </c>
      <c r="C263" s="31" t="s">
        <v>336</v>
      </c>
      <c r="D263" s="31" t="s">
        <v>22</v>
      </c>
      <c r="E263" s="31" t="s">
        <v>29</v>
      </c>
      <c r="F263" s="53" t="n">
        <v>46285</v>
      </c>
      <c r="G263" s="31"/>
    </row>
    <row r="264" customFormat="false" ht="15.75" hidden="false" customHeight="false" outlineLevel="0" collapsed="false">
      <c r="A264" s="51" t="s">
        <v>408</v>
      </c>
      <c r="B264" s="31" t="s">
        <v>20</v>
      </c>
      <c r="C264" s="31" t="s">
        <v>21</v>
      </c>
      <c r="D264" s="31" t="s">
        <v>22</v>
      </c>
      <c r="E264" s="31" t="s">
        <v>34</v>
      </c>
      <c r="F264" s="53" t="n">
        <v>46285</v>
      </c>
      <c r="G264" s="31" t="s">
        <v>396</v>
      </c>
    </row>
    <row r="265" customFormat="false" ht="15.75" hidden="false" customHeight="false" outlineLevel="0" collapsed="false">
      <c r="A265" s="51" t="s">
        <v>409</v>
      </c>
      <c r="B265" s="31" t="s">
        <v>20</v>
      </c>
      <c r="C265" s="31"/>
      <c r="D265" s="31" t="s">
        <v>22</v>
      </c>
      <c r="E265" s="31" t="s">
        <v>34</v>
      </c>
      <c r="F265" s="53" t="n">
        <v>46285</v>
      </c>
      <c r="G265" s="31"/>
    </row>
    <row r="266" customFormat="false" ht="15.75" hidden="false" customHeight="false" outlineLevel="0" collapsed="false">
      <c r="A266" s="51" t="s">
        <v>410</v>
      </c>
      <c r="B266" s="31" t="s">
        <v>20</v>
      </c>
      <c r="C266" s="31" t="s">
        <v>25</v>
      </c>
      <c r="D266" s="31" t="s">
        <v>22</v>
      </c>
      <c r="E266" s="31" t="s">
        <v>34</v>
      </c>
      <c r="F266" s="53" t="n">
        <v>46285</v>
      </c>
      <c r="G266" s="31" t="s">
        <v>411</v>
      </c>
    </row>
    <row r="267" customFormat="false" ht="15.75" hidden="false" customHeight="false" outlineLevel="0" collapsed="false">
      <c r="A267" s="51" t="s">
        <v>412</v>
      </c>
      <c r="B267" s="31" t="s">
        <v>20</v>
      </c>
      <c r="C267" s="31" t="s">
        <v>25</v>
      </c>
      <c r="D267" s="31" t="s">
        <v>22</v>
      </c>
      <c r="E267" s="31" t="s">
        <v>34</v>
      </c>
      <c r="F267" s="53" t="n">
        <v>46285</v>
      </c>
      <c r="G267" s="31"/>
    </row>
    <row r="268" customFormat="false" ht="15.75" hidden="false" customHeight="false" outlineLevel="0" collapsed="false">
      <c r="A268" s="51" t="s">
        <v>413</v>
      </c>
      <c r="B268" s="31" t="s">
        <v>414</v>
      </c>
      <c r="C268" s="31" t="s">
        <v>21</v>
      </c>
      <c r="D268" s="31" t="s">
        <v>22</v>
      </c>
      <c r="E268" s="31" t="s">
        <v>34</v>
      </c>
      <c r="F268" s="53" t="n">
        <v>46285</v>
      </c>
      <c r="G268" s="31"/>
    </row>
    <row r="269" customFormat="false" ht="15.75" hidden="false" customHeight="false" outlineLevel="0" collapsed="false">
      <c r="A269" s="51" t="s">
        <v>415</v>
      </c>
      <c r="B269" s="31" t="s">
        <v>20</v>
      </c>
      <c r="C269" s="31" t="s">
        <v>21</v>
      </c>
      <c r="D269" s="31" t="s">
        <v>22</v>
      </c>
      <c r="E269" s="31" t="s">
        <v>34</v>
      </c>
      <c r="F269" s="53" t="n">
        <v>46285</v>
      </c>
      <c r="G269" s="31"/>
    </row>
    <row r="270" customFormat="false" ht="15.75" hidden="false" customHeight="false" outlineLevel="0" collapsed="false">
      <c r="A270" s="51" t="s">
        <v>416</v>
      </c>
      <c r="B270" s="31" t="s">
        <v>20</v>
      </c>
      <c r="C270" s="31" t="s">
        <v>21</v>
      </c>
      <c r="D270" s="31" t="s">
        <v>22</v>
      </c>
      <c r="E270" s="31" t="s">
        <v>34</v>
      </c>
      <c r="F270" s="53" t="n">
        <v>46285</v>
      </c>
      <c r="G270" s="31"/>
    </row>
    <row r="271" customFormat="false" ht="15.75" hidden="false" customHeight="false" outlineLevel="0" collapsed="false">
      <c r="A271" s="51" t="s">
        <v>417</v>
      </c>
      <c r="B271" s="31" t="s">
        <v>20</v>
      </c>
      <c r="C271" s="31" t="s">
        <v>21</v>
      </c>
      <c r="D271" s="31" t="s">
        <v>22</v>
      </c>
      <c r="E271" s="31" t="s">
        <v>34</v>
      </c>
      <c r="F271" s="53" t="n">
        <v>46285</v>
      </c>
      <c r="G271" s="31"/>
    </row>
    <row r="272" customFormat="false" ht="15.75" hidden="false" customHeight="false" outlineLevel="0" collapsed="false">
      <c r="A272" s="51" t="s">
        <v>418</v>
      </c>
      <c r="B272" s="31" t="s">
        <v>20</v>
      </c>
      <c r="C272" s="31" t="s">
        <v>25</v>
      </c>
      <c r="D272" s="31" t="s">
        <v>22</v>
      </c>
      <c r="E272" s="31" t="s">
        <v>34</v>
      </c>
      <c r="F272" s="53" t="n">
        <v>46285</v>
      </c>
      <c r="G272" s="31"/>
    </row>
    <row r="273" customFormat="false" ht="15.75" hidden="false" customHeight="false" outlineLevel="0" collapsed="false">
      <c r="A273" s="51" t="s">
        <v>419</v>
      </c>
      <c r="B273" s="31" t="s">
        <v>20</v>
      </c>
      <c r="C273" s="31" t="s">
        <v>25</v>
      </c>
      <c r="D273" s="31" t="s">
        <v>22</v>
      </c>
      <c r="E273" s="31" t="s">
        <v>34</v>
      </c>
      <c r="F273" s="53" t="n">
        <v>46285</v>
      </c>
      <c r="G273" s="31"/>
    </row>
    <row r="274" customFormat="false" ht="15.75" hidden="false" customHeight="false" outlineLevel="0" collapsed="false">
      <c r="A274" s="51" t="s">
        <v>420</v>
      </c>
      <c r="B274" s="31" t="s">
        <v>20</v>
      </c>
      <c r="C274" s="31" t="s">
        <v>21</v>
      </c>
      <c r="D274" s="31" t="s">
        <v>22</v>
      </c>
      <c r="E274" s="31" t="s">
        <v>34</v>
      </c>
      <c r="F274" s="53" t="n">
        <v>46285</v>
      </c>
      <c r="G274" s="31" t="s">
        <v>71</v>
      </c>
    </row>
    <row r="275" customFormat="false" ht="15.75" hidden="false" customHeight="false" outlineLevel="0" collapsed="false">
      <c r="A275" s="51" t="s">
        <v>421</v>
      </c>
      <c r="B275" s="31" t="s">
        <v>20</v>
      </c>
      <c r="C275" s="31" t="s">
        <v>25</v>
      </c>
      <c r="D275" s="31" t="s">
        <v>22</v>
      </c>
      <c r="E275" s="31" t="s">
        <v>34</v>
      </c>
      <c r="F275" s="53" t="n">
        <v>46285</v>
      </c>
      <c r="G275" s="31"/>
    </row>
    <row r="276" customFormat="false" ht="15.75" hidden="false" customHeight="false" outlineLevel="0" collapsed="false">
      <c r="A276" s="51" t="s">
        <v>422</v>
      </c>
      <c r="B276" s="31" t="s">
        <v>20</v>
      </c>
      <c r="C276" s="31" t="s">
        <v>21</v>
      </c>
      <c r="D276" s="31" t="s">
        <v>22</v>
      </c>
      <c r="E276" s="31" t="s">
        <v>34</v>
      </c>
      <c r="F276" s="53" t="n">
        <v>46285</v>
      </c>
      <c r="G276" s="31" t="s">
        <v>423</v>
      </c>
    </row>
    <row r="277" customFormat="false" ht="15.75" hidden="false" customHeight="false" outlineLevel="0" collapsed="false">
      <c r="A277" s="51" t="s">
        <v>424</v>
      </c>
      <c r="B277" s="31" t="s">
        <v>355</v>
      </c>
      <c r="C277" s="31" t="s">
        <v>21</v>
      </c>
      <c r="D277" s="31" t="s">
        <v>22</v>
      </c>
      <c r="E277" s="31" t="s">
        <v>26</v>
      </c>
      <c r="F277" s="53" t="n">
        <v>46285</v>
      </c>
      <c r="G277" s="31" t="s">
        <v>27</v>
      </c>
    </row>
    <row r="278" customFormat="false" ht="15.75" hidden="false" customHeight="false" outlineLevel="0" collapsed="false">
      <c r="A278" s="51" t="s">
        <v>425</v>
      </c>
      <c r="B278" s="31" t="s">
        <v>426</v>
      </c>
      <c r="C278" s="31" t="s">
        <v>326</v>
      </c>
      <c r="D278" s="31" t="s">
        <v>22</v>
      </c>
      <c r="E278" s="31" t="s">
        <v>34</v>
      </c>
      <c r="F278" s="53" t="n">
        <v>46285</v>
      </c>
      <c r="G278" s="31" t="s">
        <v>427</v>
      </c>
    </row>
    <row r="279" customFormat="false" ht="15.75" hidden="false" customHeight="false" outlineLevel="0" collapsed="false">
      <c r="A279" s="51" t="s">
        <v>428</v>
      </c>
      <c r="B279" s="31" t="s">
        <v>426</v>
      </c>
      <c r="C279" s="31" t="s">
        <v>326</v>
      </c>
      <c r="D279" s="31" t="s">
        <v>22</v>
      </c>
      <c r="E279" s="31" t="s">
        <v>34</v>
      </c>
      <c r="F279" s="53" t="n">
        <v>46285</v>
      </c>
      <c r="G279" s="31" t="s">
        <v>427</v>
      </c>
    </row>
    <row r="280" customFormat="false" ht="15.75" hidden="false" customHeight="false" outlineLevel="0" collapsed="false">
      <c r="A280" s="51" t="s">
        <v>429</v>
      </c>
      <c r="B280" s="31" t="s">
        <v>357</v>
      </c>
      <c r="C280" s="31" t="s">
        <v>326</v>
      </c>
      <c r="D280" s="31" t="s">
        <v>22</v>
      </c>
      <c r="E280" s="31" t="s">
        <v>34</v>
      </c>
      <c r="F280" s="53" t="n">
        <v>46285</v>
      </c>
      <c r="G280" s="31" t="s">
        <v>358</v>
      </c>
    </row>
    <row r="281" customFormat="false" ht="15.75" hidden="false" customHeight="false" outlineLevel="0" collapsed="false">
      <c r="A281" s="51" t="s">
        <v>430</v>
      </c>
      <c r="B281" s="31" t="s">
        <v>20</v>
      </c>
      <c r="C281" s="31" t="s">
        <v>25</v>
      </c>
      <c r="D281" s="31" t="s">
        <v>22</v>
      </c>
      <c r="E281" s="31" t="s">
        <v>34</v>
      </c>
      <c r="F281" s="53" t="n">
        <v>46285</v>
      </c>
      <c r="G281" s="31"/>
    </row>
    <row r="282" customFormat="false" ht="15.75" hidden="false" customHeight="false" outlineLevel="0" collapsed="false">
      <c r="A282" s="51" t="s">
        <v>431</v>
      </c>
      <c r="B282" s="31" t="s">
        <v>20</v>
      </c>
      <c r="C282" s="31" t="s">
        <v>329</v>
      </c>
      <c r="D282" s="31" t="s">
        <v>22</v>
      </c>
      <c r="E282" s="31" t="s">
        <v>432</v>
      </c>
      <c r="F282" s="53" t="n">
        <v>46285</v>
      </c>
      <c r="G282" s="31" t="s">
        <v>38</v>
      </c>
    </row>
    <row r="283" customFormat="false" ht="15.75" hidden="false" customHeight="false" outlineLevel="0" collapsed="false">
      <c r="A283" s="51" t="s">
        <v>433</v>
      </c>
      <c r="B283" s="31" t="s">
        <v>20</v>
      </c>
      <c r="C283" s="31" t="s">
        <v>21</v>
      </c>
      <c r="D283" s="31" t="s">
        <v>22</v>
      </c>
      <c r="E283" s="31" t="s">
        <v>34</v>
      </c>
      <c r="F283" s="53" t="n">
        <v>46285</v>
      </c>
      <c r="G283" s="31"/>
    </row>
    <row r="284" customFormat="false" ht="15.75" hidden="false" customHeight="false" outlineLevel="0" collapsed="false">
      <c r="A284" s="51" t="s">
        <v>434</v>
      </c>
      <c r="B284" s="31" t="s">
        <v>20</v>
      </c>
      <c r="C284" s="31" t="s">
        <v>326</v>
      </c>
      <c r="D284" s="31" t="s">
        <v>22</v>
      </c>
      <c r="E284" s="31" t="s">
        <v>34</v>
      </c>
      <c r="F284" s="53" t="n">
        <v>46285</v>
      </c>
      <c r="G284" s="31" t="s">
        <v>331</v>
      </c>
    </row>
    <row r="285" customFormat="false" ht="15.75" hidden="false" customHeight="false" outlineLevel="0" collapsed="false">
      <c r="A285" s="51" t="s">
        <v>435</v>
      </c>
      <c r="B285" s="31" t="s">
        <v>235</v>
      </c>
      <c r="C285" s="31" t="s">
        <v>326</v>
      </c>
      <c r="D285" s="31" t="s">
        <v>22</v>
      </c>
      <c r="E285" s="31" t="s">
        <v>34</v>
      </c>
      <c r="F285" s="53" t="n">
        <v>46285</v>
      </c>
      <c r="G285" s="31" t="s">
        <v>331</v>
      </c>
    </row>
    <row r="286" customFormat="false" ht="15.75" hidden="false" customHeight="false" outlineLevel="0" collapsed="false">
      <c r="A286" s="51" t="s">
        <v>436</v>
      </c>
      <c r="B286" s="31" t="s">
        <v>20</v>
      </c>
      <c r="C286" s="31" t="s">
        <v>326</v>
      </c>
      <c r="D286" s="31" t="s">
        <v>22</v>
      </c>
      <c r="E286" s="31" t="s">
        <v>34</v>
      </c>
      <c r="F286" s="53" t="n">
        <v>46285</v>
      </c>
      <c r="G286" s="31" t="s">
        <v>331</v>
      </c>
    </row>
    <row r="287" customFormat="false" ht="15.75" hidden="false" customHeight="false" outlineLevel="0" collapsed="false">
      <c r="A287" s="51" t="s">
        <v>437</v>
      </c>
      <c r="B287" s="31" t="s">
        <v>20</v>
      </c>
      <c r="C287" s="31" t="s">
        <v>326</v>
      </c>
      <c r="D287" s="31" t="s">
        <v>22</v>
      </c>
      <c r="E287" s="31" t="s">
        <v>34</v>
      </c>
      <c r="F287" s="53" t="n">
        <v>46285</v>
      </c>
      <c r="G287" s="31" t="s">
        <v>331</v>
      </c>
    </row>
    <row r="288" customFormat="false" ht="15.75" hidden="false" customHeight="false" outlineLevel="0" collapsed="false">
      <c r="A288" s="51" t="s">
        <v>438</v>
      </c>
      <c r="B288" s="31" t="s">
        <v>20</v>
      </c>
      <c r="C288" s="31" t="s">
        <v>326</v>
      </c>
      <c r="D288" s="31" t="s">
        <v>22</v>
      </c>
      <c r="E288" s="31" t="s">
        <v>34</v>
      </c>
      <c r="F288" s="53" t="n">
        <v>46285</v>
      </c>
      <c r="G288" s="31" t="s">
        <v>331</v>
      </c>
    </row>
    <row r="289" customFormat="false" ht="15.75" hidden="false" customHeight="false" outlineLevel="0" collapsed="false">
      <c r="A289" s="51" t="s">
        <v>439</v>
      </c>
      <c r="B289" s="31" t="s">
        <v>440</v>
      </c>
      <c r="C289" s="31" t="s">
        <v>326</v>
      </c>
      <c r="D289" s="31" t="s">
        <v>22</v>
      </c>
      <c r="E289" s="31" t="s">
        <v>34</v>
      </c>
      <c r="F289" s="53" t="n">
        <v>46285</v>
      </c>
      <c r="G289" s="31" t="s">
        <v>441</v>
      </c>
    </row>
    <row r="290" customFormat="false" ht="15.75" hidden="false" customHeight="false" outlineLevel="0" collapsed="false">
      <c r="A290" s="51" t="s">
        <v>442</v>
      </c>
      <c r="B290" s="31" t="s">
        <v>440</v>
      </c>
      <c r="C290" s="31" t="s">
        <v>326</v>
      </c>
      <c r="D290" s="31" t="s">
        <v>22</v>
      </c>
      <c r="E290" s="31" t="s">
        <v>34</v>
      </c>
      <c r="F290" s="53" t="n">
        <v>46285</v>
      </c>
      <c r="G290" s="31" t="s">
        <v>358</v>
      </c>
    </row>
    <row r="291" customFormat="false" ht="15.75" hidden="false" customHeight="false" outlineLevel="0" collapsed="false">
      <c r="A291" s="51" t="s">
        <v>443</v>
      </c>
      <c r="B291" s="31" t="s">
        <v>444</v>
      </c>
      <c r="C291" s="31" t="s">
        <v>21</v>
      </c>
      <c r="D291" s="31" t="s">
        <v>22</v>
      </c>
      <c r="E291" s="31" t="s">
        <v>34</v>
      </c>
      <c r="F291" s="53" t="n">
        <v>46285</v>
      </c>
      <c r="G291" s="31" t="s">
        <v>90</v>
      </c>
    </row>
    <row r="292" customFormat="false" ht="15.75" hidden="false" customHeight="false" outlineLevel="0" collapsed="false">
      <c r="A292" s="51" t="s">
        <v>445</v>
      </c>
      <c r="B292" s="31" t="s">
        <v>235</v>
      </c>
      <c r="C292" s="31" t="s">
        <v>326</v>
      </c>
      <c r="D292" s="31" t="s">
        <v>22</v>
      </c>
      <c r="E292" s="31" t="s">
        <v>34</v>
      </c>
      <c r="F292" s="53" t="n">
        <v>46285</v>
      </c>
      <c r="G292" s="31" t="s">
        <v>331</v>
      </c>
    </row>
    <row r="293" customFormat="false" ht="15.75" hidden="false" customHeight="false" outlineLevel="0" collapsed="false">
      <c r="A293" s="51" t="s">
        <v>446</v>
      </c>
      <c r="B293" s="31" t="s">
        <v>20</v>
      </c>
      <c r="C293" s="31" t="s">
        <v>326</v>
      </c>
      <c r="D293" s="31" t="s">
        <v>22</v>
      </c>
      <c r="E293" s="31" t="s">
        <v>34</v>
      </c>
      <c r="F293" s="53" t="n">
        <v>46285</v>
      </c>
      <c r="G293" s="31" t="s">
        <v>331</v>
      </c>
    </row>
    <row r="294" customFormat="false" ht="15.75" hidden="false" customHeight="false" outlineLevel="0" collapsed="false">
      <c r="A294" s="51" t="s">
        <v>447</v>
      </c>
      <c r="B294" s="31" t="s">
        <v>448</v>
      </c>
      <c r="C294" s="31" t="s">
        <v>336</v>
      </c>
      <c r="D294" s="31" t="s">
        <v>22</v>
      </c>
      <c r="E294" s="31" t="s">
        <v>34</v>
      </c>
      <c r="F294" s="53" t="n">
        <v>46285</v>
      </c>
      <c r="G294" s="31" t="s">
        <v>331</v>
      </c>
    </row>
    <row r="295" customFormat="false" ht="15.75" hidden="false" customHeight="false" outlineLevel="0" collapsed="false">
      <c r="A295" s="51" t="s">
        <v>449</v>
      </c>
      <c r="B295" s="31" t="s">
        <v>450</v>
      </c>
      <c r="C295" s="31" t="s">
        <v>326</v>
      </c>
      <c r="D295" s="31" t="s">
        <v>22</v>
      </c>
      <c r="E295" s="31" t="s">
        <v>34</v>
      </c>
      <c r="F295" s="53" t="n">
        <v>46285</v>
      </c>
      <c r="G295" s="31" t="s">
        <v>331</v>
      </c>
    </row>
    <row r="296" customFormat="false" ht="15.75" hidden="false" customHeight="false" outlineLevel="0" collapsed="false">
      <c r="A296" s="51" t="s">
        <v>451</v>
      </c>
      <c r="B296" s="31" t="s">
        <v>450</v>
      </c>
      <c r="C296" s="31" t="s">
        <v>326</v>
      </c>
      <c r="D296" s="31" t="s">
        <v>22</v>
      </c>
      <c r="E296" s="31" t="s">
        <v>34</v>
      </c>
      <c r="F296" s="53" t="n">
        <v>46285</v>
      </c>
      <c r="G296" s="31" t="s">
        <v>331</v>
      </c>
    </row>
    <row r="297" customFormat="false" ht="15.75" hidden="false" customHeight="false" outlineLevel="0" collapsed="false">
      <c r="A297" s="51" t="s">
        <v>452</v>
      </c>
      <c r="B297" s="31" t="s">
        <v>450</v>
      </c>
      <c r="C297" s="31" t="s">
        <v>326</v>
      </c>
      <c r="D297" s="31" t="s">
        <v>22</v>
      </c>
      <c r="E297" s="31" t="s">
        <v>34</v>
      </c>
      <c r="F297" s="53" t="n">
        <v>46285</v>
      </c>
      <c r="G297" s="31" t="s">
        <v>331</v>
      </c>
    </row>
    <row r="298" customFormat="false" ht="15.75" hidden="false" customHeight="false" outlineLevel="0" collapsed="false">
      <c r="A298" s="51" t="s">
        <v>453</v>
      </c>
      <c r="B298" s="31" t="s">
        <v>450</v>
      </c>
      <c r="C298" s="31" t="s">
        <v>326</v>
      </c>
      <c r="D298" s="31" t="s">
        <v>22</v>
      </c>
      <c r="E298" s="31" t="s">
        <v>34</v>
      </c>
      <c r="F298" s="53" t="n">
        <v>46285</v>
      </c>
      <c r="G298" s="31" t="s">
        <v>331</v>
      </c>
    </row>
    <row r="299" customFormat="false" ht="15.75" hidden="false" customHeight="false" outlineLevel="0" collapsed="false">
      <c r="A299" s="51" t="s">
        <v>454</v>
      </c>
      <c r="B299" s="31" t="s">
        <v>450</v>
      </c>
      <c r="C299" s="31" t="s">
        <v>326</v>
      </c>
      <c r="D299" s="31" t="s">
        <v>22</v>
      </c>
      <c r="E299" s="31" t="s">
        <v>34</v>
      </c>
      <c r="F299" s="53" t="n">
        <v>46285</v>
      </c>
      <c r="G299" s="31" t="s">
        <v>331</v>
      </c>
    </row>
    <row r="300" customFormat="false" ht="15.75" hidden="false" customHeight="false" outlineLevel="0" collapsed="false">
      <c r="A300" s="51" t="s">
        <v>455</v>
      </c>
      <c r="B300" s="31" t="s">
        <v>235</v>
      </c>
      <c r="C300" s="31" t="s">
        <v>326</v>
      </c>
      <c r="D300" s="31" t="s">
        <v>22</v>
      </c>
      <c r="E300" s="31" t="s">
        <v>34</v>
      </c>
      <c r="F300" s="53" t="n">
        <v>46285</v>
      </c>
      <c r="G300" s="31" t="s">
        <v>331</v>
      </c>
    </row>
    <row r="301" customFormat="false" ht="15.75" hidden="false" customHeight="false" outlineLevel="0" collapsed="false">
      <c r="A301" s="51" t="s">
        <v>456</v>
      </c>
      <c r="B301" s="31" t="s">
        <v>457</v>
      </c>
      <c r="C301" s="31" t="s">
        <v>336</v>
      </c>
      <c r="D301" s="31" t="s">
        <v>22</v>
      </c>
      <c r="E301" s="31" t="s">
        <v>34</v>
      </c>
      <c r="F301" s="53" t="n">
        <v>46285</v>
      </c>
      <c r="G301" s="31"/>
    </row>
    <row r="302" customFormat="false" ht="15.75" hidden="false" customHeight="false" outlineLevel="0" collapsed="false">
      <c r="A302" s="51" t="s">
        <v>458</v>
      </c>
      <c r="B302" s="31" t="s">
        <v>405</v>
      </c>
      <c r="C302" s="31" t="s">
        <v>336</v>
      </c>
      <c r="D302" s="31" t="s">
        <v>22</v>
      </c>
      <c r="E302" s="31" t="s">
        <v>34</v>
      </c>
      <c r="F302" s="53" t="n">
        <v>46285</v>
      </c>
      <c r="G302" s="31"/>
    </row>
    <row r="303" customFormat="false" ht="15.75" hidden="false" customHeight="false" outlineLevel="0" collapsed="false">
      <c r="A303" s="51" t="s">
        <v>459</v>
      </c>
      <c r="B303" s="31" t="s">
        <v>407</v>
      </c>
      <c r="C303" s="31" t="s">
        <v>336</v>
      </c>
      <c r="D303" s="31" t="s">
        <v>22</v>
      </c>
      <c r="E303" s="31" t="s">
        <v>34</v>
      </c>
      <c r="F303" s="53" t="n">
        <v>46285</v>
      </c>
      <c r="G303" s="31"/>
    </row>
    <row r="304" customFormat="false" ht="15.75" hidden="false" customHeight="false" outlineLevel="0" collapsed="false">
      <c r="A304" s="51" t="s">
        <v>460</v>
      </c>
      <c r="B304" s="31" t="s">
        <v>457</v>
      </c>
      <c r="C304" s="31" t="s">
        <v>336</v>
      </c>
      <c r="D304" s="31" t="s">
        <v>22</v>
      </c>
      <c r="E304" s="31" t="s">
        <v>34</v>
      </c>
      <c r="F304" s="53" t="n">
        <v>46285</v>
      </c>
      <c r="G304" s="31"/>
    </row>
    <row r="305" customFormat="false" ht="15.75" hidden="false" customHeight="false" outlineLevel="0" collapsed="false">
      <c r="A305" s="51" t="s">
        <v>461</v>
      </c>
      <c r="B305" s="31" t="s">
        <v>457</v>
      </c>
      <c r="C305" s="31" t="s">
        <v>336</v>
      </c>
      <c r="D305" s="31" t="s">
        <v>22</v>
      </c>
      <c r="E305" s="31" t="s">
        <v>34</v>
      </c>
      <c r="F305" s="53" t="n">
        <v>46285</v>
      </c>
      <c r="G305" s="31"/>
    </row>
    <row r="306" customFormat="false" ht="15.75" hidden="false" customHeight="false" outlineLevel="0" collapsed="false">
      <c r="A306" s="51" t="s">
        <v>462</v>
      </c>
      <c r="B306" s="31" t="s">
        <v>457</v>
      </c>
      <c r="C306" s="31" t="s">
        <v>336</v>
      </c>
      <c r="D306" s="31" t="s">
        <v>22</v>
      </c>
      <c r="E306" s="31" t="s">
        <v>34</v>
      </c>
      <c r="F306" s="53" t="n">
        <v>46285</v>
      </c>
      <c r="G306" s="31"/>
    </row>
    <row r="307" customFormat="false" ht="15.75" hidden="false" customHeight="false" outlineLevel="0" collapsed="false">
      <c r="A307" s="51" t="s">
        <v>463</v>
      </c>
      <c r="B307" s="31" t="s">
        <v>457</v>
      </c>
      <c r="C307" s="31" t="s">
        <v>336</v>
      </c>
      <c r="D307" s="31" t="s">
        <v>22</v>
      </c>
      <c r="E307" s="31" t="s">
        <v>34</v>
      </c>
      <c r="F307" s="53" t="n">
        <v>46285</v>
      </c>
      <c r="G307" s="31"/>
    </row>
    <row r="308" customFormat="false" ht="15.75" hidden="false" customHeight="false" outlineLevel="0" collapsed="false">
      <c r="A308" s="51" t="s">
        <v>464</v>
      </c>
      <c r="B308" s="31" t="s">
        <v>457</v>
      </c>
      <c r="C308" s="31" t="s">
        <v>336</v>
      </c>
      <c r="D308" s="31" t="s">
        <v>22</v>
      </c>
      <c r="E308" s="31" t="s">
        <v>34</v>
      </c>
      <c r="F308" s="53" t="n">
        <v>46285</v>
      </c>
      <c r="G308" s="31"/>
    </row>
    <row r="309" customFormat="false" ht="15.75" hidden="false" customHeight="false" outlineLevel="0" collapsed="false">
      <c r="A309" s="51" t="s">
        <v>465</v>
      </c>
      <c r="B309" s="31" t="s">
        <v>20</v>
      </c>
      <c r="C309" s="31" t="s">
        <v>21</v>
      </c>
      <c r="D309" s="31" t="s">
        <v>22</v>
      </c>
      <c r="E309" s="31" t="s">
        <v>34</v>
      </c>
      <c r="F309" s="53" t="n">
        <v>46285</v>
      </c>
      <c r="G309" s="31" t="s">
        <v>71</v>
      </c>
    </row>
    <row r="310" customFormat="false" ht="15.75" hidden="false" customHeight="false" outlineLevel="0" collapsed="false">
      <c r="A310" s="51" t="s">
        <v>466</v>
      </c>
      <c r="B310" s="31" t="s">
        <v>20</v>
      </c>
      <c r="C310" s="31" t="s">
        <v>21</v>
      </c>
      <c r="D310" s="31" t="s">
        <v>22</v>
      </c>
      <c r="E310" s="31" t="s">
        <v>34</v>
      </c>
      <c r="F310" s="53" t="n">
        <v>46285</v>
      </c>
      <c r="G310" s="31"/>
    </row>
    <row r="311" customFormat="false" ht="15.75" hidden="false" customHeight="false" outlineLevel="0" collapsed="false">
      <c r="A311" s="51" t="s">
        <v>467</v>
      </c>
      <c r="B311" s="31" t="s">
        <v>20</v>
      </c>
      <c r="C311" s="31" t="s">
        <v>25</v>
      </c>
      <c r="D311" s="31" t="s">
        <v>22</v>
      </c>
      <c r="E311" s="31" t="s">
        <v>34</v>
      </c>
      <c r="F311" s="53" t="n">
        <v>46285</v>
      </c>
      <c r="G311" s="31"/>
    </row>
    <row r="312" customFormat="false" ht="15.75" hidden="false" customHeight="false" outlineLevel="0" collapsed="false">
      <c r="A312" s="51" t="s">
        <v>468</v>
      </c>
      <c r="B312" s="31" t="s">
        <v>20</v>
      </c>
      <c r="C312" s="31" t="s">
        <v>336</v>
      </c>
      <c r="D312" s="31" t="s">
        <v>22</v>
      </c>
      <c r="E312" s="31" t="s">
        <v>34</v>
      </c>
      <c r="F312" s="53" t="n">
        <v>46285</v>
      </c>
      <c r="G312" s="31" t="s">
        <v>38</v>
      </c>
    </row>
    <row r="313" customFormat="false" ht="15.75" hidden="false" customHeight="false" outlineLevel="0" collapsed="false">
      <c r="A313" s="51" t="s">
        <v>469</v>
      </c>
      <c r="B313" s="31" t="s">
        <v>457</v>
      </c>
      <c r="C313" s="31" t="s">
        <v>336</v>
      </c>
      <c r="D313" s="31" t="s">
        <v>22</v>
      </c>
      <c r="E313" s="31" t="s">
        <v>34</v>
      </c>
      <c r="F313" s="53" t="n">
        <v>46285</v>
      </c>
      <c r="G313" s="31" t="s">
        <v>38</v>
      </c>
    </row>
    <row r="314" customFormat="false" ht="15.75" hidden="false" customHeight="false" outlineLevel="0" collapsed="false">
      <c r="A314" s="51" t="s">
        <v>470</v>
      </c>
      <c r="B314" s="31" t="s">
        <v>457</v>
      </c>
      <c r="C314" s="31" t="s">
        <v>336</v>
      </c>
      <c r="D314" s="31" t="s">
        <v>22</v>
      </c>
      <c r="E314" s="31" t="s">
        <v>34</v>
      </c>
      <c r="F314" s="53" t="n">
        <v>46285</v>
      </c>
      <c r="G314" s="31" t="s">
        <v>38</v>
      </c>
    </row>
    <row r="315" customFormat="false" ht="15.75" hidden="false" customHeight="false" outlineLevel="0" collapsed="false">
      <c r="A315" s="51" t="s">
        <v>471</v>
      </c>
      <c r="B315" s="31" t="s">
        <v>214</v>
      </c>
      <c r="C315" s="31" t="s">
        <v>472</v>
      </c>
      <c r="D315" s="31" t="s">
        <v>22</v>
      </c>
      <c r="E315" s="31" t="s">
        <v>34</v>
      </c>
      <c r="F315" s="53" t="n">
        <v>46285</v>
      </c>
      <c r="G315" s="31" t="s">
        <v>473</v>
      </c>
    </row>
    <row r="316" customFormat="false" ht="15.75" hidden="false" customHeight="false" outlineLevel="0" collapsed="false">
      <c r="A316" s="51" t="s">
        <v>474</v>
      </c>
      <c r="B316" s="31" t="s">
        <v>99</v>
      </c>
      <c r="C316" s="31" t="s">
        <v>21</v>
      </c>
      <c r="D316" s="31" t="s">
        <v>22</v>
      </c>
      <c r="E316" s="31" t="s">
        <v>29</v>
      </c>
      <c r="F316" s="53" t="n">
        <v>46285</v>
      </c>
      <c r="G316" s="31" t="s">
        <v>27</v>
      </c>
    </row>
    <row r="317" customFormat="false" ht="15.75" hidden="false" customHeight="false" outlineLevel="0" collapsed="false">
      <c r="A317" s="51" t="s">
        <v>475</v>
      </c>
      <c r="B317" s="31" t="s">
        <v>56</v>
      </c>
      <c r="C317" s="31" t="s">
        <v>21</v>
      </c>
      <c r="D317" s="31" t="s">
        <v>22</v>
      </c>
      <c r="E317" s="31" t="s">
        <v>29</v>
      </c>
      <c r="F317" s="53" t="n">
        <v>46285</v>
      </c>
      <c r="G317" s="31" t="s">
        <v>41</v>
      </c>
    </row>
    <row r="318" customFormat="false" ht="15.75" hidden="false" customHeight="false" outlineLevel="0" collapsed="false">
      <c r="A318" s="51" t="s">
        <v>476</v>
      </c>
      <c r="B318" s="31" t="s">
        <v>477</v>
      </c>
      <c r="C318" s="31" t="s">
        <v>25</v>
      </c>
      <c r="D318" s="31" t="s">
        <v>22</v>
      </c>
      <c r="E318" s="31" t="s">
        <v>34</v>
      </c>
      <c r="F318" s="53" t="n">
        <v>46285</v>
      </c>
      <c r="G318" s="31"/>
    </row>
    <row r="319" customFormat="false" ht="15.75" hidden="false" customHeight="false" outlineLevel="0" collapsed="false">
      <c r="A319" s="51" t="s">
        <v>478</v>
      </c>
      <c r="B319" s="31" t="s">
        <v>20</v>
      </c>
      <c r="C319" s="31" t="s">
        <v>21</v>
      </c>
      <c r="D319" s="31" t="s">
        <v>22</v>
      </c>
      <c r="E319" s="31" t="s">
        <v>34</v>
      </c>
      <c r="F319" s="53" t="n">
        <v>46285</v>
      </c>
      <c r="G319" s="31" t="s">
        <v>290</v>
      </c>
    </row>
    <row r="320" customFormat="false" ht="15.75" hidden="false" customHeight="false" outlineLevel="0" collapsed="false">
      <c r="A320" s="51" t="s">
        <v>479</v>
      </c>
      <c r="B320" s="31" t="s">
        <v>235</v>
      </c>
      <c r="C320" s="31" t="s">
        <v>21</v>
      </c>
      <c r="D320" s="31" t="s">
        <v>22</v>
      </c>
      <c r="E320" s="31" t="s">
        <v>480</v>
      </c>
      <c r="F320" s="53" t="n">
        <v>46285</v>
      </c>
      <c r="G320" s="31" t="s">
        <v>481</v>
      </c>
    </row>
    <row r="321" customFormat="false" ht="15.75" hidden="false" customHeight="false" outlineLevel="0" collapsed="false">
      <c r="A321" s="51" t="s">
        <v>482</v>
      </c>
      <c r="B321" s="31" t="s">
        <v>20</v>
      </c>
      <c r="C321" s="31" t="s">
        <v>329</v>
      </c>
      <c r="D321" s="31" t="s">
        <v>22</v>
      </c>
      <c r="E321" s="31" t="s">
        <v>34</v>
      </c>
      <c r="F321" s="53" t="n">
        <v>46285</v>
      </c>
      <c r="G321" s="31" t="s">
        <v>38</v>
      </c>
    </row>
    <row r="322" customFormat="false" ht="15.75" hidden="false" customHeight="false" outlineLevel="0" collapsed="false">
      <c r="A322" s="51" t="s">
        <v>483</v>
      </c>
      <c r="B322" s="31" t="s">
        <v>357</v>
      </c>
      <c r="C322" s="31" t="s">
        <v>21</v>
      </c>
      <c r="D322" s="31" t="s">
        <v>22</v>
      </c>
      <c r="E322" s="31" t="s">
        <v>26</v>
      </c>
      <c r="F322" s="53" t="n">
        <v>46285</v>
      </c>
      <c r="G322" s="31"/>
    </row>
    <row r="323" customFormat="false" ht="15.75" hidden="false" customHeight="false" outlineLevel="0" collapsed="false">
      <c r="A323" s="51" t="s">
        <v>484</v>
      </c>
      <c r="B323" s="31" t="s">
        <v>20</v>
      </c>
      <c r="C323" s="31" t="s">
        <v>336</v>
      </c>
      <c r="D323" s="31" t="s">
        <v>22</v>
      </c>
      <c r="E323" s="31" t="s">
        <v>34</v>
      </c>
      <c r="F323" s="53" t="n">
        <v>46285</v>
      </c>
      <c r="G323" s="31"/>
    </row>
    <row r="324" customFormat="false" ht="15.75" hidden="false" customHeight="false" outlineLevel="0" collapsed="false">
      <c r="A324" s="51" t="s">
        <v>485</v>
      </c>
      <c r="B324" s="31" t="s">
        <v>342</v>
      </c>
      <c r="C324" s="31" t="s">
        <v>21</v>
      </c>
      <c r="D324" s="31" t="s">
        <v>22</v>
      </c>
      <c r="E324" s="31" t="s">
        <v>29</v>
      </c>
      <c r="F324" s="53" t="n">
        <v>46285</v>
      </c>
      <c r="G324" s="31"/>
    </row>
    <row r="325" customFormat="false" ht="15.75" hidden="false" customHeight="false" outlineLevel="0" collapsed="false">
      <c r="A325" s="51" t="s">
        <v>486</v>
      </c>
      <c r="B325" s="31" t="s">
        <v>20</v>
      </c>
      <c r="C325" s="31" t="s">
        <v>21</v>
      </c>
      <c r="D325" s="31" t="s">
        <v>22</v>
      </c>
      <c r="E325" s="31" t="s">
        <v>29</v>
      </c>
      <c r="F325" s="53" t="n">
        <v>46285</v>
      </c>
      <c r="G325" s="31" t="s">
        <v>487</v>
      </c>
    </row>
    <row r="326" customFormat="false" ht="15.75" hidden="false" customHeight="false" outlineLevel="0" collapsed="false">
      <c r="A326" s="51" t="s">
        <v>488</v>
      </c>
      <c r="B326" s="31" t="s">
        <v>489</v>
      </c>
      <c r="C326" s="31" t="s">
        <v>21</v>
      </c>
      <c r="D326" s="31" t="s">
        <v>22</v>
      </c>
      <c r="E326" s="31" t="s">
        <v>29</v>
      </c>
      <c r="F326" s="53" t="n">
        <v>46285</v>
      </c>
      <c r="G326" s="31"/>
    </row>
    <row r="327" customFormat="false" ht="15.75" hidden="false" customHeight="false" outlineLevel="0" collapsed="false">
      <c r="A327" s="51" t="s">
        <v>490</v>
      </c>
      <c r="B327" s="31" t="s">
        <v>20</v>
      </c>
      <c r="C327" s="31" t="s">
        <v>21</v>
      </c>
      <c r="D327" s="31" t="s">
        <v>22</v>
      </c>
      <c r="E327" s="31" t="s">
        <v>23</v>
      </c>
      <c r="F327" s="53" t="n">
        <v>46285</v>
      </c>
      <c r="G327" s="31" t="s">
        <v>491</v>
      </c>
    </row>
    <row r="328" customFormat="false" ht="15.75" hidden="false" customHeight="false" outlineLevel="0" collapsed="false">
      <c r="A328" s="51" t="s">
        <v>492</v>
      </c>
      <c r="B328" s="31" t="s">
        <v>235</v>
      </c>
      <c r="C328" s="31" t="s">
        <v>224</v>
      </c>
      <c r="D328" s="31" t="s">
        <v>22</v>
      </c>
      <c r="E328" s="31" t="s">
        <v>34</v>
      </c>
      <c r="F328" s="53" t="n">
        <v>46285</v>
      </c>
      <c r="G328" s="31" t="s">
        <v>493</v>
      </c>
    </row>
    <row r="329" customFormat="false" ht="15.75" hidden="false" customHeight="false" outlineLevel="0" collapsed="false">
      <c r="A329" s="51" t="s">
        <v>494</v>
      </c>
      <c r="B329" s="31" t="s">
        <v>20</v>
      </c>
      <c r="C329" s="31" t="s">
        <v>21</v>
      </c>
      <c r="D329" s="31" t="s">
        <v>22</v>
      </c>
      <c r="E329" s="31" t="s">
        <v>34</v>
      </c>
      <c r="F329" s="53" t="n">
        <v>46285</v>
      </c>
      <c r="G329" s="31" t="s">
        <v>27</v>
      </c>
    </row>
    <row r="330" customFormat="false" ht="15.75" hidden="false" customHeight="false" outlineLevel="0" collapsed="false">
      <c r="A330" s="51" t="s">
        <v>495</v>
      </c>
      <c r="B330" s="31" t="s">
        <v>235</v>
      </c>
      <c r="C330" s="31" t="s">
        <v>25</v>
      </c>
      <c r="D330" s="31" t="s">
        <v>22</v>
      </c>
      <c r="E330" s="31" t="s">
        <v>26</v>
      </c>
      <c r="F330" s="53" t="n">
        <v>46285</v>
      </c>
      <c r="G330" s="31" t="s">
        <v>364</v>
      </c>
    </row>
    <row r="331" customFormat="false" ht="15.75" hidden="false" customHeight="false" outlineLevel="0" collapsed="false">
      <c r="A331" s="51" t="s">
        <v>496</v>
      </c>
      <c r="B331" s="31" t="s">
        <v>235</v>
      </c>
      <c r="C331" s="31" t="s">
        <v>21</v>
      </c>
      <c r="D331" s="31" t="s">
        <v>22</v>
      </c>
      <c r="E331" s="31" t="s">
        <v>34</v>
      </c>
      <c r="F331" s="53" t="n">
        <v>46285</v>
      </c>
      <c r="G331" s="31" t="s">
        <v>473</v>
      </c>
    </row>
    <row r="332" customFormat="false" ht="15.75" hidden="false" customHeight="false" outlineLevel="0" collapsed="false">
      <c r="A332" s="51" t="s">
        <v>497</v>
      </c>
      <c r="B332" s="31" t="s">
        <v>20</v>
      </c>
      <c r="C332" s="31" t="s">
        <v>224</v>
      </c>
      <c r="D332" s="31" t="s">
        <v>22</v>
      </c>
      <c r="E332" s="31" t="s">
        <v>26</v>
      </c>
      <c r="F332" s="53" t="n">
        <v>46285</v>
      </c>
      <c r="G332" s="31" t="s">
        <v>364</v>
      </c>
    </row>
    <row r="333" customFormat="false" ht="15.75" hidden="false" customHeight="false" outlineLevel="0" collapsed="false">
      <c r="A333" s="51" t="s">
        <v>498</v>
      </c>
      <c r="B333" s="31" t="s">
        <v>20</v>
      </c>
      <c r="C333" s="31" t="s">
        <v>182</v>
      </c>
      <c r="D333" s="31" t="s">
        <v>22</v>
      </c>
      <c r="E333" s="31" t="s">
        <v>34</v>
      </c>
      <c r="F333" s="53" t="n">
        <v>46285</v>
      </c>
      <c r="G333" s="31" t="s">
        <v>401</v>
      </c>
    </row>
    <row r="334" customFormat="false" ht="15.75" hidden="false" customHeight="false" outlineLevel="0" collapsed="false">
      <c r="A334" s="51" t="s">
        <v>499</v>
      </c>
      <c r="B334" s="31" t="s">
        <v>20</v>
      </c>
      <c r="C334" s="31" t="s">
        <v>182</v>
      </c>
      <c r="D334" s="31" t="s">
        <v>22</v>
      </c>
      <c r="E334" s="31" t="s">
        <v>34</v>
      </c>
      <c r="F334" s="53" t="n">
        <v>46285</v>
      </c>
      <c r="G334" s="31" t="s">
        <v>500</v>
      </c>
    </row>
    <row r="335" customFormat="false" ht="15.75" hidden="false" customHeight="false" outlineLevel="0" collapsed="false">
      <c r="A335" s="51" t="s">
        <v>501</v>
      </c>
      <c r="B335" s="31" t="s">
        <v>20</v>
      </c>
      <c r="C335" s="31" t="s">
        <v>25</v>
      </c>
      <c r="D335" s="31" t="s">
        <v>22</v>
      </c>
      <c r="E335" s="31" t="s">
        <v>34</v>
      </c>
      <c r="F335" s="53" t="n">
        <v>46285</v>
      </c>
      <c r="G335" s="31"/>
    </row>
    <row r="336" customFormat="false" ht="15.75" hidden="false" customHeight="false" outlineLevel="0" collapsed="false">
      <c r="A336" s="51" t="s">
        <v>502</v>
      </c>
      <c r="B336" s="31" t="s">
        <v>20</v>
      </c>
      <c r="C336" s="31" t="s">
        <v>25</v>
      </c>
      <c r="D336" s="31" t="s">
        <v>22</v>
      </c>
      <c r="E336" s="31" t="s">
        <v>34</v>
      </c>
      <c r="F336" s="53" t="n">
        <v>46285</v>
      </c>
      <c r="G336" s="31"/>
    </row>
    <row r="337" customFormat="false" ht="15.75" hidden="false" customHeight="false" outlineLevel="0" collapsed="false">
      <c r="A337" s="51" t="s">
        <v>503</v>
      </c>
      <c r="B337" s="31" t="s">
        <v>20</v>
      </c>
      <c r="C337" s="31" t="s">
        <v>25</v>
      </c>
      <c r="D337" s="31" t="s">
        <v>22</v>
      </c>
      <c r="E337" s="31" t="s">
        <v>34</v>
      </c>
      <c r="F337" s="53" t="n">
        <v>46285</v>
      </c>
      <c r="G337" s="31"/>
    </row>
    <row r="338" customFormat="false" ht="15.75" hidden="false" customHeight="false" outlineLevel="0" collapsed="false">
      <c r="A338" s="51" t="s">
        <v>504</v>
      </c>
      <c r="B338" s="31" t="s">
        <v>20</v>
      </c>
      <c r="C338" s="31" t="s">
        <v>21</v>
      </c>
      <c r="D338" s="31" t="s">
        <v>22</v>
      </c>
      <c r="E338" s="31" t="s">
        <v>26</v>
      </c>
      <c r="F338" s="53" t="n">
        <v>46285</v>
      </c>
      <c r="G338" s="31" t="s">
        <v>27</v>
      </c>
    </row>
    <row r="339" customFormat="false" ht="15.75" hidden="false" customHeight="false" outlineLevel="0" collapsed="false">
      <c r="A339" s="51" t="s">
        <v>505</v>
      </c>
      <c r="B339" s="31" t="s">
        <v>20</v>
      </c>
      <c r="C339" s="31" t="s">
        <v>25</v>
      </c>
      <c r="D339" s="31" t="s">
        <v>22</v>
      </c>
      <c r="E339" s="31" t="s">
        <v>26</v>
      </c>
      <c r="F339" s="53" t="n">
        <v>46285</v>
      </c>
      <c r="G339" s="31" t="s">
        <v>27</v>
      </c>
    </row>
    <row r="340" customFormat="false" ht="15.75" hidden="false" customHeight="false" outlineLevel="0" collapsed="false">
      <c r="A340" s="51" t="s">
        <v>506</v>
      </c>
      <c r="B340" s="31" t="s">
        <v>20</v>
      </c>
      <c r="C340" s="31" t="s">
        <v>25</v>
      </c>
      <c r="D340" s="31" t="s">
        <v>22</v>
      </c>
      <c r="E340" s="31" t="s">
        <v>34</v>
      </c>
      <c r="F340" s="53" t="n">
        <v>46285</v>
      </c>
      <c r="G340" s="31" t="s">
        <v>27</v>
      </c>
    </row>
    <row r="341" customFormat="false" ht="15.75" hidden="false" customHeight="false" outlineLevel="0" collapsed="false">
      <c r="A341" s="51" t="s">
        <v>324</v>
      </c>
      <c r="B341" s="31"/>
      <c r="C341" s="31"/>
      <c r="D341" s="31"/>
      <c r="E341" s="31"/>
      <c r="F341" s="53"/>
      <c r="G341" s="31"/>
    </row>
    <row r="342" customFormat="false" ht="15.75" hidden="false" customHeight="false" outlineLevel="0" collapsed="false">
      <c r="A342" s="51" t="s">
        <v>424</v>
      </c>
      <c r="B342" s="31"/>
      <c r="C342" s="31"/>
      <c r="D342" s="31"/>
      <c r="E342" s="31"/>
      <c r="F342" s="53"/>
      <c r="G342" s="31"/>
    </row>
    <row r="343" customFormat="false" ht="15.75" hidden="false" customHeight="false" outlineLevel="0" collapsed="false">
      <c r="A343" s="51" t="s">
        <v>485</v>
      </c>
      <c r="B343" s="31"/>
      <c r="C343" s="31"/>
      <c r="D343" s="31"/>
      <c r="E343" s="31"/>
      <c r="F343" s="53"/>
      <c r="G343" s="31"/>
    </row>
    <row r="344" customFormat="false" ht="15.75" hidden="false" customHeight="false" outlineLevel="0" collapsed="false">
      <c r="A344" s="51"/>
      <c r="B344" s="51"/>
      <c r="C344" s="51"/>
      <c r="D344" s="51"/>
      <c r="E344" s="51"/>
      <c r="F344" s="21"/>
      <c r="G344" s="51"/>
    </row>
    <row r="345" customFormat="false" ht="15.75" hidden="false" customHeight="false" outlineLevel="0" collapsed="false">
      <c r="A345" s="51" t="s">
        <v>507</v>
      </c>
      <c r="B345" s="31" t="s">
        <v>20</v>
      </c>
      <c r="C345" s="31" t="s">
        <v>25</v>
      </c>
      <c r="D345" s="31" t="s">
        <v>22</v>
      </c>
      <c r="E345" s="31" t="s">
        <v>34</v>
      </c>
      <c r="F345" s="53" t="n">
        <v>46286</v>
      </c>
      <c r="G345" s="31"/>
    </row>
    <row r="346" customFormat="false" ht="15.75" hidden="false" customHeight="false" outlineLevel="0" collapsed="false">
      <c r="A346" s="51" t="s">
        <v>508</v>
      </c>
      <c r="B346" s="31" t="s">
        <v>20</v>
      </c>
      <c r="C346" s="31" t="s">
        <v>25</v>
      </c>
      <c r="D346" s="31" t="s">
        <v>22</v>
      </c>
      <c r="E346" s="31" t="s">
        <v>26</v>
      </c>
      <c r="F346" s="53" t="n">
        <v>46286</v>
      </c>
      <c r="G346" s="31" t="s">
        <v>509</v>
      </c>
    </row>
    <row r="347" customFormat="false" ht="15.75" hidden="false" customHeight="false" outlineLevel="0" collapsed="false">
      <c r="A347" s="51" t="s">
        <v>510</v>
      </c>
      <c r="B347" s="31" t="s">
        <v>457</v>
      </c>
      <c r="C347" s="31" t="s">
        <v>336</v>
      </c>
      <c r="D347" s="31" t="s">
        <v>22</v>
      </c>
      <c r="E347" s="31" t="s">
        <v>34</v>
      </c>
      <c r="F347" s="53" t="n">
        <v>46286</v>
      </c>
      <c r="G347" s="31"/>
    </row>
    <row r="348" customFormat="false" ht="15.75" hidden="false" customHeight="false" outlineLevel="0" collapsed="false">
      <c r="A348" s="51" t="s">
        <v>511</v>
      </c>
      <c r="B348" s="31" t="s">
        <v>20</v>
      </c>
      <c r="C348" s="31" t="s">
        <v>25</v>
      </c>
      <c r="D348" s="31" t="s">
        <v>22</v>
      </c>
      <c r="E348" s="31" t="s">
        <v>26</v>
      </c>
      <c r="F348" s="53" t="n">
        <v>46286</v>
      </c>
      <c r="G348" s="31"/>
    </row>
    <row r="349" customFormat="false" ht="15.75" hidden="false" customHeight="false" outlineLevel="0" collapsed="false">
      <c r="A349" s="51" t="s">
        <v>512</v>
      </c>
      <c r="B349" s="31" t="s">
        <v>20</v>
      </c>
      <c r="C349" s="31" t="s">
        <v>25</v>
      </c>
      <c r="D349" s="31" t="s">
        <v>22</v>
      </c>
      <c r="E349" s="31" t="s">
        <v>26</v>
      </c>
      <c r="F349" s="53" t="n">
        <v>46286</v>
      </c>
      <c r="G349" s="31"/>
    </row>
    <row r="350" customFormat="false" ht="15.75" hidden="false" customHeight="false" outlineLevel="0" collapsed="false">
      <c r="A350" s="51" t="s">
        <v>513</v>
      </c>
      <c r="B350" s="31" t="s">
        <v>355</v>
      </c>
      <c r="C350" s="31" t="s">
        <v>21</v>
      </c>
      <c r="D350" s="31" t="s">
        <v>22</v>
      </c>
      <c r="E350" s="31" t="s">
        <v>34</v>
      </c>
      <c r="F350" s="53" t="n">
        <v>46286</v>
      </c>
      <c r="G350" s="31"/>
    </row>
    <row r="351" customFormat="false" ht="15.75" hidden="false" customHeight="false" outlineLevel="0" collapsed="false">
      <c r="A351" s="51" t="s">
        <v>514</v>
      </c>
      <c r="B351" s="31" t="s">
        <v>20</v>
      </c>
      <c r="C351" s="31" t="s">
        <v>25</v>
      </c>
      <c r="D351" s="31" t="s">
        <v>22</v>
      </c>
      <c r="E351" s="31" t="s">
        <v>34</v>
      </c>
      <c r="F351" s="53" t="n">
        <v>46286</v>
      </c>
      <c r="G351" s="31"/>
    </row>
    <row r="352" customFormat="false" ht="15.75" hidden="false" customHeight="false" outlineLevel="0" collapsed="false">
      <c r="A352" s="51" t="s">
        <v>515</v>
      </c>
      <c r="B352" s="31" t="s">
        <v>20</v>
      </c>
      <c r="C352" s="31" t="s">
        <v>25</v>
      </c>
      <c r="D352" s="31" t="s">
        <v>22</v>
      </c>
      <c r="E352" s="31" t="s">
        <v>26</v>
      </c>
      <c r="F352" s="53" t="n">
        <v>46286</v>
      </c>
      <c r="G352" s="31" t="s">
        <v>516</v>
      </c>
    </row>
    <row r="353" customFormat="false" ht="15.75" hidden="false" customHeight="false" outlineLevel="0" collapsed="false">
      <c r="A353" s="51" t="s">
        <v>517</v>
      </c>
      <c r="B353" s="31" t="s">
        <v>20</v>
      </c>
      <c r="C353" s="31" t="s">
        <v>21</v>
      </c>
      <c r="D353" s="31" t="s">
        <v>22</v>
      </c>
      <c r="E353" s="31" t="s">
        <v>34</v>
      </c>
      <c r="F353" s="53" t="n">
        <v>46286</v>
      </c>
      <c r="G353" s="31"/>
    </row>
    <row r="354" customFormat="false" ht="15.75" hidden="false" customHeight="false" outlineLevel="0" collapsed="false">
      <c r="A354" s="51" t="s">
        <v>518</v>
      </c>
      <c r="B354" s="31" t="s">
        <v>20</v>
      </c>
      <c r="C354" s="31" t="s">
        <v>21</v>
      </c>
      <c r="D354" s="31" t="s">
        <v>22</v>
      </c>
      <c r="E354" s="31" t="s">
        <v>26</v>
      </c>
      <c r="F354" s="53" t="n">
        <v>46286</v>
      </c>
      <c r="G354" s="31" t="s">
        <v>519</v>
      </c>
    </row>
    <row r="355" customFormat="false" ht="15.75" hidden="false" customHeight="false" outlineLevel="0" collapsed="false">
      <c r="A355" s="51" t="s">
        <v>520</v>
      </c>
      <c r="B355" s="31" t="s">
        <v>20</v>
      </c>
      <c r="C355" s="31" t="s">
        <v>25</v>
      </c>
      <c r="D355" s="31" t="s">
        <v>22</v>
      </c>
      <c r="E355" s="31" t="s">
        <v>26</v>
      </c>
      <c r="F355" s="53" t="n">
        <v>46286</v>
      </c>
      <c r="G355" s="31" t="s">
        <v>521</v>
      </c>
    </row>
    <row r="356" customFormat="false" ht="15.75" hidden="false" customHeight="false" outlineLevel="0" collapsed="false">
      <c r="A356" s="51" t="s">
        <v>522</v>
      </c>
      <c r="B356" s="31" t="s">
        <v>20</v>
      </c>
      <c r="C356" s="31" t="s">
        <v>21</v>
      </c>
      <c r="D356" s="31" t="s">
        <v>22</v>
      </c>
      <c r="E356" s="31" t="s">
        <v>26</v>
      </c>
      <c r="F356" s="53" t="n">
        <v>46286</v>
      </c>
      <c r="G356" s="31" t="s">
        <v>27</v>
      </c>
    </row>
    <row r="357" customFormat="false" ht="15.75" hidden="false" customHeight="false" outlineLevel="0" collapsed="false">
      <c r="A357" s="51" t="s">
        <v>523</v>
      </c>
      <c r="B357" s="31" t="s">
        <v>20</v>
      </c>
      <c r="C357" s="31" t="s">
        <v>25</v>
      </c>
      <c r="D357" s="31" t="s">
        <v>22</v>
      </c>
      <c r="E357" s="31" t="s">
        <v>26</v>
      </c>
      <c r="F357" s="53" t="n">
        <v>46286</v>
      </c>
      <c r="G357" s="31"/>
    </row>
    <row r="358" customFormat="false" ht="15.75" hidden="false" customHeight="false" outlineLevel="0" collapsed="false">
      <c r="A358" s="51" t="s">
        <v>524</v>
      </c>
      <c r="B358" s="31" t="s">
        <v>20</v>
      </c>
      <c r="C358" s="31" t="s">
        <v>25</v>
      </c>
      <c r="D358" s="31" t="s">
        <v>22</v>
      </c>
      <c r="E358" s="31" t="s">
        <v>34</v>
      </c>
      <c r="F358" s="53" t="n">
        <v>46286</v>
      </c>
      <c r="G358" s="31"/>
    </row>
    <row r="359" customFormat="false" ht="15.75" hidden="false" customHeight="false" outlineLevel="0" collapsed="false">
      <c r="A359" s="51" t="s">
        <v>525</v>
      </c>
      <c r="B359" s="31" t="s">
        <v>20</v>
      </c>
      <c r="C359" s="31" t="s">
        <v>25</v>
      </c>
      <c r="D359" s="31" t="s">
        <v>22</v>
      </c>
      <c r="E359" s="31" t="s">
        <v>34</v>
      </c>
      <c r="F359" s="53" t="n">
        <v>46286</v>
      </c>
      <c r="G359" s="31"/>
    </row>
    <row r="360" customFormat="false" ht="15.75" hidden="false" customHeight="false" outlineLevel="0" collapsed="false">
      <c r="A360" s="51" t="s">
        <v>526</v>
      </c>
      <c r="B360" s="31" t="s">
        <v>20</v>
      </c>
      <c r="C360" s="31" t="s">
        <v>21</v>
      </c>
      <c r="D360" s="31" t="s">
        <v>22</v>
      </c>
      <c r="E360" s="31" t="s">
        <v>26</v>
      </c>
      <c r="F360" s="53" t="n">
        <v>46286</v>
      </c>
      <c r="G360" s="31" t="s">
        <v>90</v>
      </c>
    </row>
    <row r="361" customFormat="false" ht="15.75" hidden="false" customHeight="false" outlineLevel="0" collapsed="false">
      <c r="A361" s="51" t="s">
        <v>527</v>
      </c>
      <c r="B361" s="31" t="s">
        <v>528</v>
      </c>
      <c r="C361" s="31" t="s">
        <v>21</v>
      </c>
      <c r="D361" s="31" t="s">
        <v>22</v>
      </c>
      <c r="E361" s="31" t="s">
        <v>34</v>
      </c>
      <c r="F361" s="53" t="n">
        <v>46286</v>
      </c>
      <c r="G361" s="31" t="s">
        <v>473</v>
      </c>
    </row>
    <row r="362" customFormat="false" ht="15.75" hidden="false" customHeight="false" outlineLevel="0" collapsed="false">
      <c r="A362" s="51" t="s">
        <v>529</v>
      </c>
      <c r="B362" s="31" t="s">
        <v>20</v>
      </c>
      <c r="C362" s="31" t="s">
        <v>224</v>
      </c>
      <c r="D362" s="31" t="s">
        <v>22</v>
      </c>
      <c r="E362" s="31" t="s">
        <v>26</v>
      </c>
      <c r="F362" s="53" t="n">
        <v>46286</v>
      </c>
      <c r="G362" s="31" t="s">
        <v>27</v>
      </c>
    </row>
    <row r="363" customFormat="false" ht="15.75" hidden="false" customHeight="false" outlineLevel="0" collapsed="false">
      <c r="A363" s="51" t="s">
        <v>530</v>
      </c>
      <c r="B363" s="31" t="s">
        <v>20</v>
      </c>
      <c r="C363" s="31" t="s">
        <v>224</v>
      </c>
      <c r="D363" s="31" t="s">
        <v>22</v>
      </c>
      <c r="E363" s="31" t="s">
        <v>26</v>
      </c>
      <c r="F363" s="53" t="n">
        <v>46286</v>
      </c>
      <c r="G363" s="31" t="s">
        <v>27</v>
      </c>
    </row>
    <row r="364" customFormat="false" ht="15.75" hidden="false" customHeight="false" outlineLevel="0" collapsed="false">
      <c r="A364" s="51" t="s">
        <v>531</v>
      </c>
      <c r="B364" s="31" t="s">
        <v>235</v>
      </c>
      <c r="C364" s="31" t="s">
        <v>21</v>
      </c>
      <c r="D364" s="31" t="s">
        <v>22</v>
      </c>
      <c r="E364" s="31" t="s">
        <v>34</v>
      </c>
      <c r="F364" s="53" t="n">
        <v>46286</v>
      </c>
      <c r="G364" s="31"/>
    </row>
    <row r="365" customFormat="false" ht="15.75" hidden="false" customHeight="false" outlineLevel="0" collapsed="false">
      <c r="A365" s="51" t="s">
        <v>532</v>
      </c>
      <c r="B365" s="31" t="s">
        <v>20</v>
      </c>
      <c r="C365" s="31" t="s">
        <v>25</v>
      </c>
      <c r="D365" s="31" t="s">
        <v>22</v>
      </c>
      <c r="E365" s="31" t="s">
        <v>26</v>
      </c>
      <c r="F365" s="53" t="n">
        <v>46286</v>
      </c>
      <c r="G365" s="31" t="s">
        <v>27</v>
      </c>
    </row>
    <row r="366" customFormat="false" ht="15.75" hidden="false" customHeight="false" outlineLevel="0" collapsed="false">
      <c r="A366" s="51" t="s">
        <v>533</v>
      </c>
      <c r="B366" s="31" t="s">
        <v>20</v>
      </c>
      <c r="C366" s="31" t="s">
        <v>25</v>
      </c>
      <c r="D366" s="31" t="s">
        <v>22</v>
      </c>
      <c r="E366" s="31" t="s">
        <v>34</v>
      </c>
      <c r="F366" s="53" t="n">
        <v>46286</v>
      </c>
      <c r="G366" s="31" t="s">
        <v>473</v>
      </c>
    </row>
    <row r="367" customFormat="false" ht="15.75" hidden="false" customHeight="false" outlineLevel="0" collapsed="false">
      <c r="A367" s="51" t="s">
        <v>534</v>
      </c>
      <c r="B367" s="31" t="s">
        <v>20</v>
      </c>
      <c r="C367" s="31" t="s">
        <v>25</v>
      </c>
      <c r="D367" s="31" t="s">
        <v>22</v>
      </c>
      <c r="E367" s="31" t="s">
        <v>26</v>
      </c>
      <c r="F367" s="53" t="n">
        <v>46286</v>
      </c>
      <c r="G367" s="31" t="s">
        <v>364</v>
      </c>
    </row>
    <row r="368" customFormat="false" ht="15.75" hidden="false" customHeight="false" outlineLevel="0" collapsed="false">
      <c r="A368" s="51" t="s">
        <v>535</v>
      </c>
      <c r="B368" s="31" t="s">
        <v>235</v>
      </c>
      <c r="C368" s="31" t="s">
        <v>21</v>
      </c>
      <c r="D368" s="31" t="s">
        <v>22</v>
      </c>
      <c r="E368" s="31" t="s">
        <v>26</v>
      </c>
      <c r="F368" s="53" t="n">
        <v>46286</v>
      </c>
      <c r="G368" s="31" t="s">
        <v>364</v>
      </c>
    </row>
    <row r="369" customFormat="false" ht="15.75" hidden="false" customHeight="false" outlineLevel="0" collapsed="false">
      <c r="A369" s="51" t="s">
        <v>536</v>
      </c>
      <c r="B369" s="31" t="s">
        <v>235</v>
      </c>
      <c r="C369" s="31" t="s">
        <v>21</v>
      </c>
      <c r="D369" s="31" t="s">
        <v>22</v>
      </c>
      <c r="E369" s="31" t="s">
        <v>26</v>
      </c>
      <c r="F369" s="53" t="n">
        <v>46286</v>
      </c>
      <c r="G369" s="31" t="s">
        <v>364</v>
      </c>
    </row>
    <row r="370" customFormat="false" ht="15.75" hidden="false" customHeight="false" outlineLevel="0" collapsed="false">
      <c r="A370" s="51" t="s">
        <v>505</v>
      </c>
      <c r="B370" s="31" t="s">
        <v>20</v>
      </c>
      <c r="C370" s="31" t="s">
        <v>25</v>
      </c>
      <c r="D370" s="31" t="s">
        <v>22</v>
      </c>
      <c r="E370" s="31" t="s">
        <v>26</v>
      </c>
      <c r="F370" s="53" t="n">
        <v>46286</v>
      </c>
      <c r="G370" s="31" t="s">
        <v>27</v>
      </c>
    </row>
    <row r="371" customFormat="false" ht="15.75" hidden="false" customHeight="false" outlineLevel="0" collapsed="false">
      <c r="A371" s="51" t="s">
        <v>537</v>
      </c>
      <c r="B371" s="31" t="s">
        <v>20</v>
      </c>
      <c r="C371" s="31" t="s">
        <v>21</v>
      </c>
      <c r="D371" s="31" t="s">
        <v>22</v>
      </c>
      <c r="E371" s="31" t="s">
        <v>34</v>
      </c>
      <c r="F371" s="53" t="n">
        <v>46286</v>
      </c>
      <c r="G371" s="31" t="s">
        <v>350</v>
      </c>
    </row>
    <row r="372" customFormat="false" ht="15.75" hidden="false" customHeight="false" outlineLevel="0" collapsed="false">
      <c r="A372" s="51" t="s">
        <v>538</v>
      </c>
      <c r="B372" s="31" t="s">
        <v>20</v>
      </c>
      <c r="C372" s="31" t="s">
        <v>21</v>
      </c>
      <c r="D372" s="31" t="s">
        <v>22</v>
      </c>
      <c r="E372" s="31" t="s">
        <v>34</v>
      </c>
      <c r="F372" s="53" t="n">
        <v>46286</v>
      </c>
      <c r="G372" s="31" t="s">
        <v>27</v>
      </c>
    </row>
    <row r="373" customFormat="false" ht="15.75" hidden="false" customHeight="false" outlineLevel="0" collapsed="false">
      <c r="A373" s="51" t="s">
        <v>539</v>
      </c>
      <c r="B373" s="31" t="s">
        <v>20</v>
      </c>
      <c r="C373" s="31" t="s">
        <v>25</v>
      </c>
      <c r="D373" s="31" t="s">
        <v>22</v>
      </c>
      <c r="E373" s="31" t="s">
        <v>34</v>
      </c>
      <c r="F373" s="53" t="n">
        <v>46286</v>
      </c>
      <c r="G373" s="31" t="s">
        <v>540</v>
      </c>
    </row>
    <row r="374" customFormat="false" ht="15.75" hidden="false" customHeight="false" outlineLevel="0" collapsed="false">
      <c r="A374" s="51" t="s">
        <v>541</v>
      </c>
      <c r="B374" s="31" t="s">
        <v>115</v>
      </c>
      <c r="C374" s="31" t="s">
        <v>21</v>
      </c>
      <c r="D374" s="31" t="s">
        <v>22</v>
      </c>
      <c r="E374" s="31" t="s">
        <v>26</v>
      </c>
      <c r="F374" s="53" t="n">
        <v>46286</v>
      </c>
      <c r="G374" s="31" t="s">
        <v>396</v>
      </c>
    </row>
    <row r="375" customFormat="false" ht="15.75" hidden="false" customHeight="false" outlineLevel="0" collapsed="false">
      <c r="A375" s="51" t="s">
        <v>542</v>
      </c>
      <c r="B375" s="31" t="s">
        <v>543</v>
      </c>
      <c r="C375" s="31" t="s">
        <v>25</v>
      </c>
      <c r="D375" s="31" t="s">
        <v>22</v>
      </c>
      <c r="E375" s="31" t="s">
        <v>26</v>
      </c>
      <c r="F375" s="53" t="n">
        <v>46286</v>
      </c>
      <c r="G375" s="31" t="s">
        <v>544</v>
      </c>
    </row>
    <row r="376" customFormat="false" ht="15.75" hidden="false" customHeight="false" outlineLevel="0" collapsed="false">
      <c r="A376" s="51" t="s">
        <v>541</v>
      </c>
      <c r="B376" s="31" t="s">
        <v>115</v>
      </c>
      <c r="C376" s="31" t="s">
        <v>21</v>
      </c>
      <c r="D376" s="31" t="s">
        <v>22</v>
      </c>
      <c r="E376" s="31" t="s">
        <v>26</v>
      </c>
      <c r="F376" s="53" t="n">
        <v>46286</v>
      </c>
      <c r="G376" s="31" t="s">
        <v>396</v>
      </c>
    </row>
    <row r="377" customFormat="false" ht="15.75" hidden="false" customHeight="false" outlineLevel="0" collapsed="false">
      <c r="A377" s="51" t="s">
        <v>545</v>
      </c>
      <c r="B377" s="31" t="s">
        <v>20</v>
      </c>
      <c r="C377" s="31" t="s">
        <v>25</v>
      </c>
      <c r="D377" s="31" t="s">
        <v>22</v>
      </c>
      <c r="E377" s="31" t="s">
        <v>34</v>
      </c>
      <c r="F377" s="53" t="n">
        <v>46286</v>
      </c>
      <c r="G377" s="31" t="s">
        <v>364</v>
      </c>
    </row>
    <row r="378" customFormat="false" ht="15.75" hidden="false" customHeight="false" outlineLevel="0" collapsed="false">
      <c r="A378" s="51" t="s">
        <v>507</v>
      </c>
      <c r="B378" s="31" t="s">
        <v>20</v>
      </c>
      <c r="C378" s="31" t="s">
        <v>25</v>
      </c>
      <c r="D378" s="31" t="s">
        <v>22</v>
      </c>
      <c r="E378" s="31" t="s">
        <v>34</v>
      </c>
      <c r="F378" s="53" t="n">
        <v>46286</v>
      </c>
      <c r="G378" s="31"/>
    </row>
    <row r="379" customFormat="false" ht="15.75" hidden="false" customHeight="false" outlineLevel="0" collapsed="false">
      <c r="A379" s="51" t="s">
        <v>508</v>
      </c>
      <c r="B379" s="31" t="s">
        <v>20</v>
      </c>
      <c r="C379" s="31" t="s">
        <v>25</v>
      </c>
      <c r="D379" s="31" t="s">
        <v>22</v>
      </c>
      <c r="E379" s="31" t="s">
        <v>26</v>
      </c>
      <c r="F379" s="53" t="n">
        <v>46286</v>
      </c>
      <c r="G379" s="31" t="s">
        <v>509</v>
      </c>
    </row>
    <row r="380" customFormat="false" ht="15.75" hidden="false" customHeight="false" outlineLevel="0" collapsed="false">
      <c r="A380" s="51" t="s">
        <v>510</v>
      </c>
      <c r="B380" s="31" t="s">
        <v>457</v>
      </c>
      <c r="C380" s="31" t="s">
        <v>336</v>
      </c>
      <c r="D380" s="31" t="s">
        <v>22</v>
      </c>
      <c r="E380" s="31" t="s">
        <v>34</v>
      </c>
      <c r="F380" s="53" t="n">
        <v>46286</v>
      </c>
      <c r="G380" s="31"/>
    </row>
    <row r="381" customFormat="false" ht="15.75" hidden="false" customHeight="false" outlineLevel="0" collapsed="false">
      <c r="A381" s="51" t="s">
        <v>511</v>
      </c>
      <c r="B381" s="31" t="s">
        <v>20</v>
      </c>
      <c r="C381" s="31" t="s">
        <v>25</v>
      </c>
      <c r="D381" s="31" t="s">
        <v>22</v>
      </c>
      <c r="E381" s="31" t="s">
        <v>26</v>
      </c>
      <c r="F381" s="53" t="n">
        <v>46286</v>
      </c>
      <c r="G381" s="31"/>
    </row>
    <row r="382" customFormat="false" ht="15.75" hidden="false" customHeight="false" outlineLevel="0" collapsed="false">
      <c r="A382" s="51" t="s">
        <v>512</v>
      </c>
      <c r="B382" s="31" t="s">
        <v>20</v>
      </c>
      <c r="C382" s="31" t="s">
        <v>25</v>
      </c>
      <c r="D382" s="31" t="s">
        <v>22</v>
      </c>
      <c r="E382" s="31" t="s">
        <v>26</v>
      </c>
      <c r="F382" s="53" t="n">
        <v>46286</v>
      </c>
      <c r="G382" s="31"/>
    </row>
    <row r="383" customFormat="false" ht="15.75" hidden="false" customHeight="false" outlineLevel="0" collapsed="false">
      <c r="A383" s="51" t="s">
        <v>513</v>
      </c>
      <c r="B383" s="31" t="s">
        <v>355</v>
      </c>
      <c r="C383" s="31" t="s">
        <v>21</v>
      </c>
      <c r="D383" s="31" t="s">
        <v>22</v>
      </c>
      <c r="E383" s="31" t="s">
        <v>34</v>
      </c>
      <c r="F383" s="53" t="n">
        <v>46286</v>
      </c>
      <c r="G383" s="31"/>
    </row>
    <row r="384" customFormat="false" ht="15.75" hidden="false" customHeight="false" outlineLevel="0" collapsed="false">
      <c r="A384" s="51" t="s">
        <v>514</v>
      </c>
      <c r="B384" s="31" t="s">
        <v>20</v>
      </c>
      <c r="C384" s="31" t="s">
        <v>25</v>
      </c>
      <c r="D384" s="31" t="s">
        <v>22</v>
      </c>
      <c r="E384" s="31" t="s">
        <v>34</v>
      </c>
      <c r="F384" s="53" t="n">
        <v>46286</v>
      </c>
      <c r="G384" s="31"/>
    </row>
    <row r="385" customFormat="false" ht="15.75" hidden="false" customHeight="false" outlineLevel="0" collapsed="false">
      <c r="A385" s="51" t="s">
        <v>515</v>
      </c>
      <c r="B385" s="31" t="s">
        <v>20</v>
      </c>
      <c r="C385" s="31" t="s">
        <v>25</v>
      </c>
      <c r="D385" s="31" t="s">
        <v>22</v>
      </c>
      <c r="E385" s="31" t="s">
        <v>26</v>
      </c>
      <c r="F385" s="53" t="n">
        <v>46286</v>
      </c>
      <c r="G385" s="31" t="s">
        <v>516</v>
      </c>
    </row>
    <row r="386" customFormat="false" ht="15.75" hidden="false" customHeight="false" outlineLevel="0" collapsed="false">
      <c r="A386" s="51" t="s">
        <v>517</v>
      </c>
      <c r="B386" s="31" t="s">
        <v>20</v>
      </c>
      <c r="C386" s="31" t="s">
        <v>21</v>
      </c>
      <c r="D386" s="31" t="s">
        <v>22</v>
      </c>
      <c r="E386" s="31" t="s">
        <v>34</v>
      </c>
      <c r="F386" s="53" t="n">
        <v>46286</v>
      </c>
      <c r="G386" s="31"/>
    </row>
    <row r="387" customFormat="false" ht="15.75" hidden="false" customHeight="false" outlineLevel="0" collapsed="false">
      <c r="A387" s="51" t="s">
        <v>518</v>
      </c>
      <c r="B387" s="31" t="s">
        <v>20</v>
      </c>
      <c r="C387" s="31" t="s">
        <v>21</v>
      </c>
      <c r="D387" s="31" t="s">
        <v>22</v>
      </c>
      <c r="E387" s="31" t="s">
        <v>26</v>
      </c>
      <c r="F387" s="53" t="n">
        <v>46286</v>
      </c>
      <c r="G387" s="31" t="s">
        <v>519</v>
      </c>
    </row>
    <row r="388" customFormat="false" ht="15.75" hidden="false" customHeight="false" outlineLevel="0" collapsed="false">
      <c r="A388" s="51" t="s">
        <v>520</v>
      </c>
      <c r="B388" s="31" t="s">
        <v>20</v>
      </c>
      <c r="C388" s="31" t="s">
        <v>25</v>
      </c>
      <c r="D388" s="31" t="s">
        <v>22</v>
      </c>
      <c r="E388" s="31" t="s">
        <v>26</v>
      </c>
      <c r="F388" s="53" t="n">
        <v>46286</v>
      </c>
      <c r="G388" s="31" t="s">
        <v>521</v>
      </c>
    </row>
    <row r="389" customFormat="false" ht="15.75" hidden="false" customHeight="false" outlineLevel="0" collapsed="false">
      <c r="A389" s="51" t="s">
        <v>522</v>
      </c>
      <c r="B389" s="31" t="s">
        <v>20</v>
      </c>
      <c r="C389" s="31" t="s">
        <v>21</v>
      </c>
      <c r="D389" s="31" t="s">
        <v>22</v>
      </c>
      <c r="E389" s="31" t="s">
        <v>26</v>
      </c>
      <c r="F389" s="53" t="n">
        <v>46286</v>
      </c>
      <c r="G389" s="31" t="s">
        <v>27</v>
      </c>
    </row>
    <row r="390" customFormat="false" ht="15.75" hidden="false" customHeight="false" outlineLevel="0" collapsed="false">
      <c r="A390" s="51" t="s">
        <v>523</v>
      </c>
      <c r="B390" s="31" t="s">
        <v>20</v>
      </c>
      <c r="C390" s="31" t="s">
        <v>25</v>
      </c>
      <c r="D390" s="31" t="s">
        <v>22</v>
      </c>
      <c r="E390" s="31" t="s">
        <v>26</v>
      </c>
      <c r="F390" s="53" t="n">
        <v>46286</v>
      </c>
      <c r="G390" s="31"/>
    </row>
    <row r="391" customFormat="false" ht="15.75" hidden="false" customHeight="false" outlineLevel="0" collapsed="false">
      <c r="A391" s="51" t="s">
        <v>524</v>
      </c>
      <c r="B391" s="31" t="s">
        <v>20</v>
      </c>
      <c r="C391" s="31" t="s">
        <v>25</v>
      </c>
      <c r="D391" s="31" t="s">
        <v>22</v>
      </c>
      <c r="E391" s="31" t="s">
        <v>34</v>
      </c>
      <c r="F391" s="53" t="n">
        <v>46286</v>
      </c>
      <c r="G391" s="31"/>
    </row>
    <row r="392" customFormat="false" ht="15.75" hidden="false" customHeight="false" outlineLevel="0" collapsed="false">
      <c r="A392" s="51" t="s">
        <v>525</v>
      </c>
      <c r="B392" s="31" t="s">
        <v>20</v>
      </c>
      <c r="C392" s="31" t="s">
        <v>25</v>
      </c>
      <c r="D392" s="31" t="s">
        <v>22</v>
      </c>
      <c r="E392" s="31" t="s">
        <v>34</v>
      </c>
      <c r="F392" s="53" t="n">
        <v>46286</v>
      </c>
      <c r="G392" s="31"/>
    </row>
    <row r="393" customFormat="false" ht="15.75" hidden="false" customHeight="false" outlineLevel="0" collapsed="false">
      <c r="A393" s="51" t="s">
        <v>526</v>
      </c>
      <c r="B393" s="31" t="s">
        <v>20</v>
      </c>
      <c r="C393" s="31" t="s">
        <v>21</v>
      </c>
      <c r="D393" s="31" t="s">
        <v>22</v>
      </c>
      <c r="E393" s="31" t="s">
        <v>26</v>
      </c>
      <c r="F393" s="53" t="n">
        <v>46286</v>
      </c>
      <c r="G393" s="31" t="s">
        <v>90</v>
      </c>
    </row>
    <row r="394" customFormat="false" ht="15.75" hidden="false" customHeight="false" outlineLevel="0" collapsed="false">
      <c r="A394" s="51" t="s">
        <v>527</v>
      </c>
      <c r="B394" s="31" t="s">
        <v>528</v>
      </c>
      <c r="C394" s="31" t="s">
        <v>21</v>
      </c>
      <c r="D394" s="31" t="s">
        <v>22</v>
      </c>
      <c r="E394" s="31" t="s">
        <v>34</v>
      </c>
      <c r="F394" s="53" t="n">
        <v>46286</v>
      </c>
      <c r="G394" s="31" t="s">
        <v>473</v>
      </c>
    </row>
    <row r="395" customFormat="false" ht="15.75" hidden="false" customHeight="false" outlineLevel="0" collapsed="false">
      <c r="A395" s="51" t="s">
        <v>529</v>
      </c>
      <c r="B395" s="31" t="s">
        <v>20</v>
      </c>
      <c r="C395" s="31" t="s">
        <v>224</v>
      </c>
      <c r="D395" s="31" t="s">
        <v>22</v>
      </c>
      <c r="E395" s="31" t="s">
        <v>26</v>
      </c>
      <c r="F395" s="53" t="n">
        <v>46286</v>
      </c>
      <c r="G395" s="31" t="s">
        <v>27</v>
      </c>
    </row>
    <row r="396" customFormat="false" ht="15.75" hidden="false" customHeight="false" outlineLevel="0" collapsed="false">
      <c r="A396" s="51" t="s">
        <v>530</v>
      </c>
      <c r="B396" s="31" t="s">
        <v>20</v>
      </c>
      <c r="C396" s="31" t="s">
        <v>224</v>
      </c>
      <c r="D396" s="31" t="s">
        <v>22</v>
      </c>
      <c r="E396" s="31" t="s">
        <v>26</v>
      </c>
      <c r="F396" s="53" t="n">
        <v>46286</v>
      </c>
      <c r="G396" s="31" t="s">
        <v>27</v>
      </c>
    </row>
    <row r="397" customFormat="false" ht="15.75" hidden="false" customHeight="false" outlineLevel="0" collapsed="false">
      <c r="A397" s="51" t="s">
        <v>531</v>
      </c>
      <c r="B397" s="31" t="s">
        <v>235</v>
      </c>
      <c r="C397" s="31" t="s">
        <v>21</v>
      </c>
      <c r="D397" s="31" t="s">
        <v>22</v>
      </c>
      <c r="E397" s="31" t="s">
        <v>34</v>
      </c>
      <c r="F397" s="53" t="n">
        <v>46286</v>
      </c>
      <c r="G397" s="31"/>
    </row>
    <row r="398" customFormat="false" ht="15.75" hidden="false" customHeight="false" outlineLevel="0" collapsed="false">
      <c r="A398" s="51" t="s">
        <v>532</v>
      </c>
      <c r="B398" s="31" t="s">
        <v>20</v>
      </c>
      <c r="C398" s="31" t="s">
        <v>25</v>
      </c>
      <c r="D398" s="31" t="s">
        <v>22</v>
      </c>
      <c r="E398" s="31" t="s">
        <v>26</v>
      </c>
      <c r="F398" s="53" t="n">
        <v>46286</v>
      </c>
      <c r="G398" s="31" t="s">
        <v>27</v>
      </c>
    </row>
    <row r="399" customFormat="false" ht="15.75" hidden="false" customHeight="false" outlineLevel="0" collapsed="false">
      <c r="A399" s="51" t="s">
        <v>533</v>
      </c>
      <c r="B399" s="31" t="s">
        <v>20</v>
      </c>
      <c r="C399" s="31" t="s">
        <v>25</v>
      </c>
      <c r="D399" s="31" t="s">
        <v>22</v>
      </c>
      <c r="E399" s="31" t="s">
        <v>34</v>
      </c>
      <c r="F399" s="53" t="n">
        <v>46286</v>
      </c>
      <c r="G399" s="31" t="s">
        <v>473</v>
      </c>
    </row>
    <row r="400" customFormat="false" ht="15.75" hidden="false" customHeight="false" outlineLevel="0" collapsed="false">
      <c r="A400" s="51" t="s">
        <v>534</v>
      </c>
      <c r="B400" s="31" t="s">
        <v>20</v>
      </c>
      <c r="C400" s="31" t="s">
        <v>25</v>
      </c>
      <c r="D400" s="31" t="s">
        <v>22</v>
      </c>
      <c r="E400" s="31" t="s">
        <v>26</v>
      </c>
      <c r="F400" s="53" t="n">
        <v>46286</v>
      </c>
      <c r="G400" s="31" t="s">
        <v>364</v>
      </c>
    </row>
    <row r="401" customFormat="false" ht="15.75" hidden="false" customHeight="false" outlineLevel="0" collapsed="false">
      <c r="A401" s="51" t="s">
        <v>535</v>
      </c>
      <c r="B401" s="31" t="s">
        <v>235</v>
      </c>
      <c r="C401" s="31" t="s">
        <v>21</v>
      </c>
      <c r="D401" s="31" t="s">
        <v>22</v>
      </c>
      <c r="E401" s="31" t="s">
        <v>26</v>
      </c>
      <c r="F401" s="53" t="n">
        <v>46286</v>
      </c>
      <c r="G401" s="31" t="s">
        <v>364</v>
      </c>
    </row>
    <row r="402" customFormat="false" ht="15.75" hidden="false" customHeight="false" outlineLevel="0" collapsed="false">
      <c r="A402" s="51" t="s">
        <v>536</v>
      </c>
      <c r="B402" s="31" t="s">
        <v>235</v>
      </c>
      <c r="C402" s="31" t="s">
        <v>21</v>
      </c>
      <c r="D402" s="31" t="s">
        <v>22</v>
      </c>
      <c r="E402" s="31" t="s">
        <v>26</v>
      </c>
      <c r="F402" s="53" t="n">
        <v>46286</v>
      </c>
      <c r="G402" s="31" t="s">
        <v>364</v>
      </c>
    </row>
    <row r="403" customFormat="false" ht="15.75" hidden="false" customHeight="false" outlineLevel="0" collapsed="false">
      <c r="A403" s="51" t="s">
        <v>505</v>
      </c>
      <c r="B403" s="31" t="s">
        <v>20</v>
      </c>
      <c r="C403" s="31" t="s">
        <v>25</v>
      </c>
      <c r="D403" s="31" t="s">
        <v>22</v>
      </c>
      <c r="E403" s="31" t="s">
        <v>26</v>
      </c>
      <c r="F403" s="53" t="n">
        <v>46286</v>
      </c>
      <c r="G403" s="31" t="s">
        <v>27</v>
      </c>
    </row>
    <row r="405" customFormat="false" ht="15.75" hidden="false" customHeight="false" outlineLevel="0" collapsed="false">
      <c r="A405" s="51"/>
      <c r="B405" s="31"/>
      <c r="C405" s="31"/>
      <c r="D405" s="31"/>
      <c r="E405" s="31"/>
      <c r="F405" s="53"/>
      <c r="G405" s="31"/>
    </row>
    <row r="406" customFormat="false" ht="15.75" hidden="false" customHeight="false" outlineLevel="0" collapsed="false">
      <c r="A406" s="51" t="s">
        <v>546</v>
      </c>
      <c r="B406" s="31"/>
      <c r="C406" s="31"/>
      <c r="D406" s="31"/>
      <c r="E406" s="31"/>
      <c r="F406" s="53" t="n">
        <v>46287</v>
      </c>
      <c r="G406" s="31"/>
    </row>
    <row r="407" customFormat="false" ht="15.75" hidden="false" customHeight="false" outlineLevel="0" collapsed="false">
      <c r="A407" s="51" t="s">
        <v>547</v>
      </c>
      <c r="B407" s="31"/>
      <c r="C407" s="31"/>
      <c r="D407" s="31"/>
      <c r="E407" s="31"/>
      <c r="F407" s="53" t="n">
        <v>46287</v>
      </c>
      <c r="G407" s="31"/>
    </row>
    <row r="408" customFormat="false" ht="15.75" hidden="false" customHeight="false" outlineLevel="0" collapsed="false">
      <c r="A408" s="51" t="s">
        <v>548</v>
      </c>
      <c r="B408" s="31"/>
      <c r="C408" s="31"/>
      <c r="D408" s="31"/>
      <c r="E408" s="31"/>
      <c r="F408" s="53" t="n">
        <v>46287</v>
      </c>
      <c r="G408" s="31"/>
    </row>
    <row r="409" customFormat="false" ht="15.75" hidden="false" customHeight="false" outlineLevel="0" collapsed="false">
      <c r="A409" s="51" t="s">
        <v>549</v>
      </c>
      <c r="B409" s="31"/>
      <c r="C409" s="31"/>
      <c r="D409" s="31"/>
      <c r="E409" s="31"/>
      <c r="F409" s="53" t="n">
        <v>46287</v>
      </c>
      <c r="G409" s="31"/>
    </row>
    <row r="410" customFormat="false" ht="15.75" hidden="false" customHeight="false" outlineLevel="0" collapsed="false">
      <c r="A410" s="51" t="s">
        <v>550</v>
      </c>
      <c r="B410" s="31" t="s">
        <v>20</v>
      </c>
      <c r="C410" s="31" t="s">
        <v>25</v>
      </c>
      <c r="D410" s="31" t="s">
        <v>22</v>
      </c>
      <c r="E410" s="31" t="s">
        <v>34</v>
      </c>
      <c r="F410" s="53" t="n">
        <v>46287</v>
      </c>
      <c r="G410" s="31" t="s">
        <v>396</v>
      </c>
    </row>
    <row r="411" customFormat="false" ht="15.75" hidden="false" customHeight="false" outlineLevel="0" collapsed="false">
      <c r="A411" s="51" t="s">
        <v>551</v>
      </c>
      <c r="B411" s="31" t="s">
        <v>20</v>
      </c>
      <c r="C411" s="31" t="s">
        <v>224</v>
      </c>
      <c r="D411" s="31" t="s">
        <v>22</v>
      </c>
      <c r="E411" s="31" t="s">
        <v>34</v>
      </c>
      <c r="F411" s="53" t="n">
        <v>46287</v>
      </c>
      <c r="G411" s="31" t="s">
        <v>552</v>
      </c>
    </row>
    <row r="412" customFormat="false" ht="15.75" hidden="false" customHeight="false" outlineLevel="0" collapsed="false">
      <c r="A412" s="51" t="s">
        <v>553</v>
      </c>
      <c r="B412" s="31" t="s">
        <v>20</v>
      </c>
      <c r="C412" s="31" t="s">
        <v>224</v>
      </c>
      <c r="D412" s="31" t="s">
        <v>22</v>
      </c>
      <c r="E412" s="31" t="s">
        <v>34</v>
      </c>
      <c r="F412" s="53" t="n">
        <v>46287</v>
      </c>
      <c r="G412" s="31" t="s">
        <v>552</v>
      </c>
    </row>
    <row r="413" customFormat="false" ht="15.75" hidden="false" customHeight="false" outlineLevel="0" collapsed="false">
      <c r="A413" s="51" t="s">
        <v>554</v>
      </c>
      <c r="B413" s="31" t="s">
        <v>20</v>
      </c>
      <c r="C413" s="31" t="s">
        <v>21</v>
      </c>
      <c r="D413" s="31" t="s">
        <v>22</v>
      </c>
      <c r="E413" s="31" t="s">
        <v>29</v>
      </c>
      <c r="F413" s="53" t="n">
        <v>46287</v>
      </c>
      <c r="G413" s="31" t="s">
        <v>555</v>
      </c>
    </row>
    <row r="414" customFormat="false" ht="15.75" hidden="false" customHeight="false" outlineLevel="0" collapsed="false">
      <c r="A414" s="51" t="s">
        <v>556</v>
      </c>
      <c r="B414" s="31" t="s">
        <v>20</v>
      </c>
      <c r="C414" s="31" t="s">
        <v>25</v>
      </c>
      <c r="D414" s="31" t="s">
        <v>22</v>
      </c>
      <c r="E414" s="31" t="s">
        <v>34</v>
      </c>
      <c r="F414" s="53" t="n">
        <v>46287</v>
      </c>
      <c r="G414" s="31" t="s">
        <v>136</v>
      </c>
    </row>
    <row r="415" customFormat="false" ht="15.75" hidden="false" customHeight="false" outlineLevel="0" collapsed="false">
      <c r="A415" s="51" t="s">
        <v>557</v>
      </c>
      <c r="B415" s="31" t="s">
        <v>558</v>
      </c>
      <c r="C415" s="31" t="s">
        <v>21</v>
      </c>
      <c r="D415" s="31" t="s">
        <v>22</v>
      </c>
      <c r="E415" s="31" t="s">
        <v>26</v>
      </c>
      <c r="F415" s="53" t="n">
        <v>46287</v>
      </c>
      <c r="G415" s="31" t="s">
        <v>559</v>
      </c>
    </row>
    <row r="416" customFormat="false" ht="15.75" hidden="false" customHeight="false" outlineLevel="0" collapsed="false">
      <c r="A416" s="51" t="s">
        <v>560</v>
      </c>
      <c r="B416" s="31" t="s">
        <v>20</v>
      </c>
      <c r="C416" s="31" t="s">
        <v>25</v>
      </c>
      <c r="D416" s="31" t="s">
        <v>22</v>
      </c>
      <c r="E416" s="31" t="s">
        <v>34</v>
      </c>
      <c r="F416" s="53" t="n">
        <v>46287</v>
      </c>
      <c r="G416" s="31"/>
    </row>
    <row r="417" customFormat="false" ht="15.75" hidden="false" customHeight="false" outlineLevel="0" collapsed="false">
      <c r="A417" s="51" t="s">
        <v>561</v>
      </c>
      <c r="B417" s="31" t="s">
        <v>20</v>
      </c>
      <c r="C417" s="31" t="s">
        <v>25</v>
      </c>
      <c r="D417" s="31" t="s">
        <v>22</v>
      </c>
      <c r="E417" s="31" t="s">
        <v>34</v>
      </c>
      <c r="F417" s="53" t="n">
        <v>46287</v>
      </c>
      <c r="G417" s="31" t="s">
        <v>27</v>
      </c>
    </row>
    <row r="418" customFormat="false" ht="15.75" hidden="false" customHeight="false" outlineLevel="0" collapsed="false">
      <c r="A418" s="51" t="s">
        <v>562</v>
      </c>
      <c r="B418" s="31" t="s">
        <v>20</v>
      </c>
      <c r="C418" s="31" t="s">
        <v>25</v>
      </c>
      <c r="D418" s="31" t="s">
        <v>22</v>
      </c>
      <c r="E418" s="31" t="s">
        <v>26</v>
      </c>
      <c r="F418" s="53" t="n">
        <v>46287</v>
      </c>
      <c r="G418" s="31" t="s">
        <v>123</v>
      </c>
    </row>
    <row r="419" customFormat="false" ht="15.75" hidden="false" customHeight="false" outlineLevel="0" collapsed="false">
      <c r="A419" s="51" t="s">
        <v>563</v>
      </c>
      <c r="B419" s="31" t="s">
        <v>20</v>
      </c>
      <c r="C419" s="31" t="s">
        <v>564</v>
      </c>
      <c r="D419" s="31" t="s">
        <v>22</v>
      </c>
      <c r="E419" s="31" t="s">
        <v>34</v>
      </c>
      <c r="F419" s="53" t="n">
        <v>46287</v>
      </c>
      <c r="G419" s="31" t="s">
        <v>27</v>
      </c>
    </row>
    <row r="420" customFormat="false" ht="15.75" hidden="false" customHeight="false" outlineLevel="0" collapsed="false">
      <c r="A420" s="51" t="s">
        <v>565</v>
      </c>
      <c r="B420" s="31" t="s">
        <v>20</v>
      </c>
      <c r="C420" s="31" t="s">
        <v>21</v>
      </c>
      <c r="D420" s="31" t="s">
        <v>22</v>
      </c>
      <c r="E420" s="31" t="s">
        <v>29</v>
      </c>
      <c r="F420" s="53" t="n">
        <v>46287</v>
      </c>
      <c r="G420" s="31" t="s">
        <v>27</v>
      </c>
    </row>
    <row r="421" customFormat="false" ht="15.75" hidden="false" customHeight="false" outlineLevel="0" collapsed="false">
      <c r="A421" s="51" t="s">
        <v>566</v>
      </c>
      <c r="B421" s="31" t="s">
        <v>20</v>
      </c>
      <c r="C421" s="31" t="s">
        <v>25</v>
      </c>
      <c r="D421" s="31" t="s">
        <v>22</v>
      </c>
      <c r="E421" s="31" t="s">
        <v>34</v>
      </c>
      <c r="F421" s="53" t="n">
        <v>46287</v>
      </c>
      <c r="G421" s="31" t="s">
        <v>567</v>
      </c>
    </row>
    <row r="422" customFormat="false" ht="15.75" hidden="false" customHeight="false" outlineLevel="0" collapsed="false">
      <c r="A422" s="51" t="s">
        <v>568</v>
      </c>
      <c r="B422" s="31" t="s">
        <v>115</v>
      </c>
      <c r="C422" s="31" t="s">
        <v>21</v>
      </c>
      <c r="D422" s="31" t="s">
        <v>22</v>
      </c>
      <c r="E422" s="31" t="s">
        <v>26</v>
      </c>
      <c r="F422" s="53" t="n">
        <v>46287</v>
      </c>
      <c r="G422" s="31" t="s">
        <v>27</v>
      </c>
    </row>
    <row r="423" customFormat="false" ht="15.75" hidden="false" customHeight="false" outlineLevel="0" collapsed="false">
      <c r="A423" s="51" t="s">
        <v>569</v>
      </c>
      <c r="B423" s="31" t="s">
        <v>20</v>
      </c>
      <c r="C423" s="31" t="s">
        <v>21</v>
      </c>
      <c r="D423" s="31" t="s">
        <v>22</v>
      </c>
      <c r="E423" s="31" t="s">
        <v>26</v>
      </c>
      <c r="F423" s="53" t="n">
        <v>46287</v>
      </c>
      <c r="G423" s="31" t="s">
        <v>27</v>
      </c>
    </row>
    <row r="424" customFormat="false" ht="15.75" hidden="false" customHeight="false" outlineLevel="0" collapsed="false">
      <c r="A424" s="51" t="s">
        <v>570</v>
      </c>
      <c r="B424" s="31" t="s">
        <v>20</v>
      </c>
      <c r="C424" s="31" t="s">
        <v>25</v>
      </c>
      <c r="D424" s="31" t="s">
        <v>22</v>
      </c>
      <c r="E424" s="31" t="s">
        <v>34</v>
      </c>
      <c r="F424" s="53" t="n">
        <v>46287</v>
      </c>
      <c r="G424" s="31" t="s">
        <v>90</v>
      </c>
    </row>
    <row r="425" customFormat="false" ht="15.75" hidden="false" customHeight="false" outlineLevel="0" collapsed="false">
      <c r="A425" s="51" t="s">
        <v>571</v>
      </c>
      <c r="B425" s="31" t="s">
        <v>20</v>
      </c>
      <c r="C425" s="31" t="s">
        <v>25</v>
      </c>
      <c r="D425" s="31" t="s">
        <v>22</v>
      </c>
      <c r="E425" s="31" t="s">
        <v>26</v>
      </c>
      <c r="F425" s="53" t="n">
        <v>46287</v>
      </c>
      <c r="G425" s="31"/>
    </row>
    <row r="426" customFormat="false" ht="15.75" hidden="false" customHeight="false" outlineLevel="0" collapsed="false">
      <c r="A426" s="51" t="s">
        <v>572</v>
      </c>
      <c r="B426" s="31" t="s">
        <v>20</v>
      </c>
      <c r="C426" s="31" t="s">
        <v>25</v>
      </c>
      <c r="D426" s="31" t="s">
        <v>22</v>
      </c>
      <c r="E426" s="31" t="s">
        <v>34</v>
      </c>
      <c r="F426" s="53" t="n">
        <v>46287</v>
      </c>
      <c r="G426" s="31" t="s">
        <v>27</v>
      </c>
    </row>
    <row r="427" customFormat="false" ht="15.75" hidden="false" customHeight="false" outlineLevel="0" collapsed="false">
      <c r="A427" s="51" t="s">
        <v>573</v>
      </c>
      <c r="B427" s="31" t="s">
        <v>574</v>
      </c>
      <c r="C427" s="31" t="s">
        <v>564</v>
      </c>
      <c r="D427" s="31" t="s">
        <v>22</v>
      </c>
      <c r="E427" s="31" t="s">
        <v>34</v>
      </c>
      <c r="F427" s="53" t="n">
        <v>46287</v>
      </c>
      <c r="G427" s="31" t="s">
        <v>575</v>
      </c>
    </row>
    <row r="430" customFormat="false" ht="15.75" hidden="false" customHeight="false" outlineLevel="0" collapsed="false">
      <c r="A430" s="51" t="s">
        <v>576</v>
      </c>
      <c r="B430" s="31" t="s">
        <v>20</v>
      </c>
      <c r="C430" s="35" t="s">
        <v>25</v>
      </c>
      <c r="D430" s="35" t="s">
        <v>22</v>
      </c>
      <c r="E430" s="31" t="s">
        <v>26</v>
      </c>
      <c r="F430" s="37" t="n">
        <v>46288</v>
      </c>
      <c r="G430" s="38" t="s">
        <v>27</v>
      </c>
    </row>
    <row r="431" customFormat="false" ht="15.75" hidden="false" customHeight="false" outlineLevel="0" collapsed="false">
      <c r="A431" s="51" t="s">
        <v>577</v>
      </c>
      <c r="B431" s="31" t="s">
        <v>578</v>
      </c>
      <c r="C431" s="35" t="s">
        <v>21</v>
      </c>
      <c r="D431" s="35" t="s">
        <v>22</v>
      </c>
      <c r="E431" s="31" t="s">
        <v>26</v>
      </c>
      <c r="F431" s="37" t="n">
        <v>46288</v>
      </c>
      <c r="G431" s="38" t="s">
        <v>579</v>
      </c>
    </row>
    <row r="432" customFormat="false" ht="15.75" hidden="false" customHeight="false" outlineLevel="0" collapsed="false">
      <c r="A432" s="51" t="s">
        <v>580</v>
      </c>
      <c r="B432" s="31" t="s">
        <v>578</v>
      </c>
      <c r="C432" s="35" t="s">
        <v>21</v>
      </c>
      <c r="D432" s="35" t="s">
        <v>22</v>
      </c>
      <c r="E432" s="31" t="s">
        <v>26</v>
      </c>
      <c r="F432" s="37" t="n">
        <v>46288</v>
      </c>
      <c r="G432" s="38" t="s">
        <v>579</v>
      </c>
    </row>
    <row r="433" customFormat="false" ht="15.75" hidden="false" customHeight="false" outlineLevel="0" collapsed="false">
      <c r="A433" s="51" t="s">
        <v>581</v>
      </c>
      <c r="B433" s="31" t="s">
        <v>578</v>
      </c>
      <c r="C433" s="35" t="s">
        <v>21</v>
      </c>
      <c r="D433" s="35" t="s">
        <v>22</v>
      </c>
      <c r="E433" s="31" t="s">
        <v>26</v>
      </c>
      <c r="F433" s="37" t="n">
        <v>46288</v>
      </c>
      <c r="G433" s="38" t="s">
        <v>579</v>
      </c>
    </row>
    <row r="434" customFormat="false" ht="15.75" hidden="false" customHeight="false" outlineLevel="0" collapsed="false">
      <c r="A434" s="51" t="s">
        <v>582</v>
      </c>
      <c r="B434" s="31" t="s">
        <v>20</v>
      </c>
      <c r="C434" s="35" t="s">
        <v>21</v>
      </c>
      <c r="D434" s="35" t="s">
        <v>22</v>
      </c>
      <c r="E434" s="31" t="s">
        <v>26</v>
      </c>
      <c r="F434" s="37" t="n">
        <v>46288</v>
      </c>
      <c r="G434" s="38" t="s">
        <v>583</v>
      </c>
    </row>
    <row r="435" customFormat="false" ht="15.75" hidden="false" customHeight="false" outlineLevel="0" collapsed="false">
      <c r="A435" s="51" t="s">
        <v>584</v>
      </c>
      <c r="B435" s="31" t="s">
        <v>20</v>
      </c>
      <c r="C435" s="35" t="s">
        <v>21</v>
      </c>
      <c r="D435" s="35" t="s">
        <v>22</v>
      </c>
      <c r="E435" s="31" t="s">
        <v>34</v>
      </c>
      <c r="F435" s="37" t="n">
        <v>46288</v>
      </c>
      <c r="G435" s="38"/>
    </row>
    <row r="436" customFormat="false" ht="15.75" hidden="false" customHeight="false" outlineLevel="0" collapsed="false">
      <c r="A436" s="51" t="s">
        <v>585</v>
      </c>
      <c r="B436" s="31" t="s">
        <v>20</v>
      </c>
      <c r="C436" s="35" t="s">
        <v>25</v>
      </c>
      <c r="D436" s="35" t="s">
        <v>22</v>
      </c>
      <c r="E436" s="31" t="s">
        <v>26</v>
      </c>
      <c r="F436" s="37" t="n">
        <v>46288</v>
      </c>
      <c r="G436" s="38"/>
    </row>
    <row r="437" customFormat="false" ht="15.75" hidden="false" customHeight="false" outlineLevel="0" collapsed="false">
      <c r="A437" s="51" t="s">
        <v>586</v>
      </c>
      <c r="B437" s="31" t="s">
        <v>587</v>
      </c>
      <c r="C437" s="35" t="s">
        <v>21</v>
      </c>
      <c r="D437" s="35" t="s">
        <v>22</v>
      </c>
      <c r="E437" s="31" t="s">
        <v>26</v>
      </c>
      <c r="F437" s="37" t="n">
        <v>46288</v>
      </c>
      <c r="G437" s="38" t="s">
        <v>588</v>
      </c>
    </row>
    <row r="438" customFormat="false" ht="15.75" hidden="false" customHeight="false" outlineLevel="0" collapsed="false">
      <c r="A438" s="51" t="s">
        <v>589</v>
      </c>
      <c r="B438" s="31" t="s">
        <v>558</v>
      </c>
      <c r="C438" s="35" t="s">
        <v>21</v>
      </c>
      <c r="D438" s="35" t="s">
        <v>22</v>
      </c>
      <c r="E438" s="31" t="s">
        <v>26</v>
      </c>
      <c r="F438" s="37" t="n">
        <v>46288</v>
      </c>
      <c r="G438" s="38"/>
    </row>
    <row r="439" customFormat="false" ht="15.75" hidden="false" customHeight="false" outlineLevel="0" collapsed="false">
      <c r="A439" s="51" t="s">
        <v>590</v>
      </c>
      <c r="B439" s="31" t="s">
        <v>558</v>
      </c>
      <c r="C439" s="35" t="s">
        <v>21</v>
      </c>
      <c r="D439" s="35" t="s">
        <v>22</v>
      </c>
      <c r="E439" s="31" t="s">
        <v>26</v>
      </c>
      <c r="F439" s="37" t="n">
        <v>46288</v>
      </c>
      <c r="G439" s="38" t="s">
        <v>591</v>
      </c>
    </row>
    <row r="440" customFormat="false" ht="15.75" hidden="false" customHeight="false" outlineLevel="0" collapsed="false">
      <c r="A440" s="51" t="s">
        <v>592</v>
      </c>
      <c r="B440" s="31" t="s">
        <v>558</v>
      </c>
      <c r="C440" s="35" t="s">
        <v>21</v>
      </c>
      <c r="D440" s="35" t="s">
        <v>22</v>
      </c>
      <c r="E440" s="31" t="s">
        <v>26</v>
      </c>
      <c r="F440" s="37" t="n">
        <v>46288</v>
      </c>
      <c r="G440" s="38" t="s">
        <v>593</v>
      </c>
    </row>
    <row r="441" customFormat="false" ht="15.75" hidden="false" customHeight="false" outlineLevel="0" collapsed="false">
      <c r="A441" s="51" t="s">
        <v>594</v>
      </c>
      <c r="B441" s="31" t="s">
        <v>574</v>
      </c>
      <c r="C441" s="35" t="s">
        <v>595</v>
      </c>
      <c r="D441" s="35" t="s">
        <v>22</v>
      </c>
      <c r="E441" s="31" t="s">
        <v>26</v>
      </c>
      <c r="F441" s="37" t="n">
        <v>46288</v>
      </c>
      <c r="G441" s="38" t="s">
        <v>596</v>
      </c>
    </row>
    <row r="442" customFormat="false" ht="15.75" hidden="false" customHeight="false" outlineLevel="0" collapsed="false">
      <c r="A442" s="51" t="s">
        <v>597</v>
      </c>
      <c r="B442" s="31" t="s">
        <v>20</v>
      </c>
      <c r="C442" s="35" t="s">
        <v>564</v>
      </c>
      <c r="D442" s="35" t="s">
        <v>22</v>
      </c>
      <c r="E442" s="31" t="s">
        <v>26</v>
      </c>
      <c r="F442" s="37" t="n">
        <v>46288</v>
      </c>
      <c r="G442" s="38"/>
    </row>
    <row r="443" customFormat="false" ht="15.75" hidden="false" customHeight="false" outlineLevel="0" collapsed="false">
      <c r="A443" s="51" t="s">
        <v>598</v>
      </c>
      <c r="B443" s="31" t="s">
        <v>244</v>
      </c>
      <c r="C443" s="35" t="s">
        <v>21</v>
      </c>
      <c r="D443" s="35" t="s">
        <v>22</v>
      </c>
      <c r="E443" s="31" t="s">
        <v>26</v>
      </c>
      <c r="F443" s="37" t="n">
        <v>46288</v>
      </c>
      <c r="G443" s="38" t="s">
        <v>599</v>
      </c>
    </row>
    <row r="444" customFormat="false" ht="15.75" hidden="false" customHeight="false" outlineLevel="0" collapsed="false">
      <c r="A444" s="51" t="s">
        <v>600</v>
      </c>
      <c r="B444" s="31" t="s">
        <v>20</v>
      </c>
      <c r="C444" s="35" t="s">
        <v>25</v>
      </c>
      <c r="D444" s="35" t="s">
        <v>22</v>
      </c>
      <c r="E444" s="31" t="s">
        <v>26</v>
      </c>
      <c r="F444" s="37" t="n">
        <v>46288</v>
      </c>
      <c r="G444" s="38" t="s">
        <v>27</v>
      </c>
    </row>
    <row r="445" customFormat="false" ht="15.75" hidden="false" customHeight="false" outlineLevel="0" collapsed="false">
      <c r="A445" s="51" t="s">
        <v>601</v>
      </c>
      <c r="B445" s="31" t="s">
        <v>20</v>
      </c>
      <c r="C445" s="35" t="s">
        <v>25</v>
      </c>
      <c r="D445" s="35" t="s">
        <v>22</v>
      </c>
      <c r="E445" s="31" t="s">
        <v>26</v>
      </c>
      <c r="F445" s="37" t="n">
        <v>46288</v>
      </c>
      <c r="G445" s="38" t="s">
        <v>364</v>
      </c>
    </row>
    <row r="446" customFormat="false" ht="15.75" hidden="false" customHeight="false" outlineLevel="0" collapsed="false">
      <c r="A446" s="51" t="s">
        <v>602</v>
      </c>
      <c r="B446" s="31" t="s">
        <v>20</v>
      </c>
      <c r="C446" s="35" t="s">
        <v>25</v>
      </c>
      <c r="D446" s="35" t="s">
        <v>22</v>
      </c>
      <c r="E446" s="31" t="s">
        <v>26</v>
      </c>
      <c r="F446" s="37" t="n">
        <v>46288</v>
      </c>
      <c r="G446" s="38" t="s">
        <v>38</v>
      </c>
    </row>
    <row r="448" customFormat="false" ht="15.75" hidden="false" customHeight="false" outlineLevel="0" collapsed="false">
      <c r="A448" s="24" t="s">
        <v>603</v>
      </c>
      <c r="B448" s="31" t="s">
        <v>20</v>
      </c>
      <c r="C448" s="35" t="s">
        <v>25</v>
      </c>
      <c r="D448" s="35" t="s">
        <v>22</v>
      </c>
      <c r="E448" s="35" t="s">
        <v>34</v>
      </c>
      <c r="F448" s="37" t="n">
        <v>46289</v>
      </c>
      <c r="G448" s="38"/>
    </row>
    <row r="449" customFormat="false" ht="15.75" hidden="false" customHeight="false" outlineLevel="0" collapsed="false">
      <c r="A449" s="24" t="s">
        <v>604</v>
      </c>
      <c r="B449" s="31" t="s">
        <v>20</v>
      </c>
      <c r="C449" s="35" t="s">
        <v>25</v>
      </c>
      <c r="D449" s="35" t="s">
        <v>22</v>
      </c>
      <c r="E449" s="35" t="s">
        <v>34</v>
      </c>
      <c r="F449" s="37" t="n">
        <v>46289</v>
      </c>
      <c r="G449" s="38" t="s">
        <v>38</v>
      </c>
    </row>
    <row r="450" customFormat="false" ht="15.75" hidden="false" customHeight="false" outlineLevel="0" collapsed="false">
      <c r="A450" s="24" t="s">
        <v>605</v>
      </c>
      <c r="B450" s="31" t="s">
        <v>20</v>
      </c>
      <c r="C450" s="35" t="s">
        <v>25</v>
      </c>
      <c r="D450" s="35" t="s">
        <v>22</v>
      </c>
      <c r="E450" s="35" t="s">
        <v>34</v>
      </c>
      <c r="F450" s="37" t="n">
        <v>46289</v>
      </c>
      <c r="G450" s="38" t="s">
        <v>38</v>
      </c>
    </row>
    <row r="451" customFormat="false" ht="15.75" hidden="false" customHeight="false" outlineLevel="0" collapsed="false">
      <c r="A451" s="24" t="s">
        <v>606</v>
      </c>
      <c r="B451" s="31" t="s">
        <v>20</v>
      </c>
      <c r="C451" s="35" t="s">
        <v>25</v>
      </c>
      <c r="D451" s="35" t="s">
        <v>22</v>
      </c>
      <c r="E451" s="35" t="s">
        <v>26</v>
      </c>
      <c r="F451" s="37" t="n">
        <v>46289</v>
      </c>
      <c r="G451" s="38"/>
    </row>
    <row r="453" customFormat="false" ht="15.75" hidden="false" customHeight="false" outlineLevel="0" collapsed="false">
      <c r="A453" s="24" t="s">
        <v>467</v>
      </c>
      <c r="B453" s="31" t="s">
        <v>20</v>
      </c>
      <c r="C453" s="35" t="s">
        <v>25</v>
      </c>
      <c r="D453" s="35" t="s">
        <v>22</v>
      </c>
      <c r="E453" s="35" t="s">
        <v>34</v>
      </c>
      <c r="F453" s="37" t="n">
        <v>46290</v>
      </c>
      <c r="G453" s="38"/>
    </row>
    <row r="454" customFormat="false" ht="15.75" hidden="false" customHeight="false" outlineLevel="0" collapsed="false">
      <c r="A454" s="24" t="s">
        <v>607</v>
      </c>
      <c r="B454" s="31" t="s">
        <v>20</v>
      </c>
      <c r="C454" s="35" t="s">
        <v>21</v>
      </c>
      <c r="D454" s="35" t="s">
        <v>22</v>
      </c>
      <c r="E454" s="35" t="s">
        <v>34</v>
      </c>
      <c r="F454" s="37" t="n">
        <v>46290</v>
      </c>
      <c r="G454" s="38"/>
    </row>
    <row r="455" customFormat="false" ht="15.75" hidden="false" customHeight="false" outlineLevel="0" collapsed="false">
      <c r="A455" s="24" t="s">
        <v>608</v>
      </c>
      <c r="B455" s="31" t="s">
        <v>20</v>
      </c>
      <c r="C455" s="35" t="s">
        <v>182</v>
      </c>
      <c r="D455" s="35" t="s">
        <v>22</v>
      </c>
      <c r="E455" s="35" t="s">
        <v>34</v>
      </c>
      <c r="F455" s="37" t="n">
        <v>46290</v>
      </c>
      <c r="G455" s="38"/>
    </row>
    <row r="456" customFormat="false" ht="15.75" hidden="false" customHeight="false" outlineLevel="0" collapsed="false">
      <c r="A456" s="24" t="s">
        <v>609</v>
      </c>
      <c r="B456" s="31" t="s">
        <v>20</v>
      </c>
      <c r="C456" s="35" t="s">
        <v>21</v>
      </c>
      <c r="D456" s="35" t="s">
        <v>22</v>
      </c>
      <c r="E456" s="35" t="s">
        <v>34</v>
      </c>
      <c r="F456" s="37" t="n">
        <v>46290</v>
      </c>
      <c r="G456" s="38" t="s">
        <v>610</v>
      </c>
    </row>
    <row r="457" customFormat="false" ht="15.75" hidden="false" customHeight="false" outlineLevel="0" collapsed="false">
      <c r="A457" s="24" t="s">
        <v>611</v>
      </c>
      <c r="B457" s="31" t="s">
        <v>20</v>
      </c>
      <c r="C457" s="35" t="s">
        <v>25</v>
      </c>
      <c r="D457" s="35" t="s">
        <v>22</v>
      </c>
      <c r="E457" s="35" t="s">
        <v>34</v>
      </c>
      <c r="F457" s="37" t="n">
        <v>46290</v>
      </c>
      <c r="G457" s="38" t="s">
        <v>27</v>
      </c>
    </row>
    <row r="458" customFormat="false" ht="15.75" hidden="false" customHeight="false" outlineLevel="0" collapsed="false">
      <c r="A458" s="24" t="s">
        <v>612</v>
      </c>
      <c r="B458" s="31" t="s">
        <v>185</v>
      </c>
      <c r="C458" s="35" t="s">
        <v>25</v>
      </c>
      <c r="D458" s="35" t="s">
        <v>22</v>
      </c>
      <c r="E458" s="35" t="s">
        <v>23</v>
      </c>
      <c r="F458" s="37" t="n">
        <v>46290</v>
      </c>
      <c r="G458" s="38" t="s">
        <v>27</v>
      </c>
    </row>
    <row r="459" customFormat="false" ht="15.75" hidden="false" customHeight="false" outlineLevel="0" collapsed="false">
      <c r="A459" s="24" t="s">
        <v>613</v>
      </c>
      <c r="B459" s="31" t="s">
        <v>20</v>
      </c>
      <c r="C459" s="35" t="s">
        <v>21</v>
      </c>
      <c r="D459" s="35" t="s">
        <v>22</v>
      </c>
      <c r="E459" s="35" t="s">
        <v>34</v>
      </c>
      <c r="F459" s="37" t="n">
        <v>46290</v>
      </c>
      <c r="G459" s="38" t="s">
        <v>614</v>
      </c>
    </row>
    <row r="460" customFormat="false" ht="15.75" hidden="false" customHeight="false" outlineLevel="0" collapsed="false">
      <c r="A460" s="24" t="s">
        <v>615</v>
      </c>
      <c r="B460" s="31" t="s">
        <v>616</v>
      </c>
      <c r="C460" s="35" t="s">
        <v>21</v>
      </c>
      <c r="D460" s="35" t="s">
        <v>22</v>
      </c>
      <c r="E460" s="35" t="s">
        <v>34</v>
      </c>
      <c r="F460" s="37" t="n">
        <v>46290</v>
      </c>
      <c r="G460" s="38" t="s">
        <v>112</v>
      </c>
    </row>
    <row r="461" customFormat="false" ht="15.75" hidden="false" customHeight="false" outlineLevel="0" collapsed="false">
      <c r="A461" s="24" t="s">
        <v>617</v>
      </c>
      <c r="B461" s="31" t="s">
        <v>355</v>
      </c>
      <c r="C461" s="35" t="s">
        <v>25</v>
      </c>
      <c r="D461" s="35" t="s">
        <v>22</v>
      </c>
      <c r="E461" s="35" t="s">
        <v>34</v>
      </c>
      <c r="F461" s="37" t="n">
        <v>46290</v>
      </c>
      <c r="G461" s="38" t="s">
        <v>618</v>
      </c>
    </row>
    <row r="462" customFormat="false" ht="15.75" hidden="false" customHeight="false" outlineLevel="0" collapsed="false">
      <c r="A462" s="24" t="s">
        <v>619</v>
      </c>
      <c r="B462" s="31" t="s">
        <v>20</v>
      </c>
      <c r="C462" s="35" t="s">
        <v>25</v>
      </c>
      <c r="D462" s="35" t="s">
        <v>22</v>
      </c>
      <c r="E462" s="35" t="s">
        <v>34</v>
      </c>
      <c r="F462" s="37" t="n">
        <v>46290</v>
      </c>
      <c r="G462" s="38"/>
    </row>
    <row r="463" customFormat="false" ht="15.75" hidden="false" customHeight="false" outlineLevel="0" collapsed="false">
      <c r="A463" s="24" t="s">
        <v>620</v>
      </c>
      <c r="B463" s="31" t="s">
        <v>20</v>
      </c>
      <c r="C463" s="35" t="s">
        <v>25</v>
      </c>
      <c r="D463" s="35" t="s">
        <v>22</v>
      </c>
      <c r="E463" s="35" t="s">
        <v>34</v>
      </c>
      <c r="F463" s="37" t="n">
        <v>46290</v>
      </c>
      <c r="G463" s="38"/>
    </row>
    <row r="464" customFormat="false" ht="15.75" hidden="false" customHeight="false" outlineLevel="0" collapsed="false">
      <c r="A464" s="24" t="s">
        <v>621</v>
      </c>
      <c r="B464" s="31" t="s">
        <v>20</v>
      </c>
      <c r="C464" s="35" t="s">
        <v>25</v>
      </c>
      <c r="D464" s="35" t="s">
        <v>22</v>
      </c>
      <c r="E464" s="35" t="s">
        <v>34</v>
      </c>
      <c r="F464" s="37" t="n">
        <v>46290</v>
      </c>
      <c r="G464" s="38"/>
    </row>
    <row r="465" customFormat="false" ht="15.75" hidden="false" customHeight="false" outlineLevel="0" collapsed="false">
      <c r="A465" s="24" t="s">
        <v>622</v>
      </c>
      <c r="B465" s="31" t="s">
        <v>623</v>
      </c>
      <c r="C465" s="35" t="s">
        <v>25</v>
      </c>
      <c r="D465" s="35" t="s">
        <v>22</v>
      </c>
      <c r="E465" s="35" t="s">
        <v>34</v>
      </c>
      <c r="F465" s="37" t="n">
        <v>46290</v>
      </c>
      <c r="G465" s="38" t="s">
        <v>123</v>
      </c>
    </row>
    <row r="466" customFormat="false" ht="15.75" hidden="false" customHeight="false" outlineLevel="0" collapsed="false">
      <c r="A466" s="24" t="s">
        <v>624</v>
      </c>
      <c r="B466" s="31" t="s">
        <v>20</v>
      </c>
      <c r="C466" s="35" t="s">
        <v>25</v>
      </c>
      <c r="D466" s="35" t="s">
        <v>22</v>
      </c>
      <c r="E466" s="35" t="s">
        <v>34</v>
      </c>
      <c r="F466" s="37" t="n">
        <v>46290</v>
      </c>
      <c r="G466" s="38" t="s">
        <v>625</v>
      </c>
    </row>
    <row r="467" customFormat="false" ht="15.75" hidden="false" customHeight="false" outlineLevel="0" collapsed="false">
      <c r="A467" s="24" t="s">
        <v>626</v>
      </c>
      <c r="B467" s="31" t="s">
        <v>627</v>
      </c>
      <c r="C467" s="35" t="s">
        <v>25</v>
      </c>
      <c r="D467" s="35" t="s">
        <v>22</v>
      </c>
      <c r="E467" s="35" t="s">
        <v>34</v>
      </c>
      <c r="F467" s="37" t="n">
        <v>46290</v>
      </c>
      <c r="G467" s="38"/>
    </row>
    <row r="468" customFormat="false" ht="15.75" hidden="false" customHeight="false" outlineLevel="0" collapsed="false">
      <c r="A468" s="24" t="s">
        <v>628</v>
      </c>
      <c r="B468" s="31" t="s">
        <v>20</v>
      </c>
      <c r="C468" s="35" t="s">
        <v>25</v>
      </c>
      <c r="D468" s="35" t="s">
        <v>22</v>
      </c>
      <c r="E468" s="35" t="s">
        <v>34</v>
      </c>
      <c r="F468" s="37" t="n">
        <v>46290</v>
      </c>
      <c r="G468" s="38"/>
    </row>
    <row r="469" customFormat="false" ht="15.75" hidden="false" customHeight="false" outlineLevel="0" collapsed="false">
      <c r="A469" s="24" t="s">
        <v>629</v>
      </c>
      <c r="B469" s="31" t="s">
        <v>630</v>
      </c>
      <c r="C469" s="35" t="s">
        <v>25</v>
      </c>
      <c r="D469" s="35" t="s">
        <v>22</v>
      </c>
      <c r="E469" s="35" t="s">
        <v>34</v>
      </c>
      <c r="F469" s="37" t="n">
        <v>46290</v>
      </c>
      <c r="G469" s="38"/>
    </row>
    <row r="470" customFormat="false" ht="15.75" hidden="false" customHeight="false" outlineLevel="0" collapsed="false">
      <c r="A470" s="24" t="s">
        <v>631</v>
      </c>
      <c r="B470" s="31" t="s">
        <v>99</v>
      </c>
      <c r="C470" s="35" t="s">
        <v>25</v>
      </c>
      <c r="D470" s="35" t="s">
        <v>22</v>
      </c>
      <c r="E470" s="35" t="s">
        <v>23</v>
      </c>
      <c r="F470" s="37" t="n">
        <v>46290</v>
      </c>
      <c r="G470" s="38" t="s">
        <v>632</v>
      </c>
    </row>
    <row r="471" customFormat="false" ht="15.75" hidden="false" customHeight="false" outlineLevel="0" collapsed="false">
      <c r="A471" s="24" t="s">
        <v>633</v>
      </c>
      <c r="B471" s="31" t="s">
        <v>20</v>
      </c>
      <c r="C471" s="35" t="s">
        <v>25</v>
      </c>
      <c r="D471" s="35" t="s">
        <v>22</v>
      </c>
      <c r="E471" s="35" t="s">
        <v>34</v>
      </c>
      <c r="F471" s="37" t="n">
        <v>46290</v>
      </c>
      <c r="G471" s="38" t="s">
        <v>614</v>
      </c>
    </row>
    <row r="472" customFormat="false" ht="15.75" hidden="false" customHeight="false" outlineLevel="0" collapsed="false">
      <c r="A472" s="24" t="s">
        <v>634</v>
      </c>
      <c r="B472" s="31" t="s">
        <v>20</v>
      </c>
      <c r="C472" s="35" t="s">
        <v>635</v>
      </c>
      <c r="D472" s="35" t="s">
        <v>22</v>
      </c>
      <c r="E472" s="35" t="s">
        <v>34</v>
      </c>
      <c r="F472" s="37" t="n">
        <v>46290</v>
      </c>
      <c r="G472" s="38" t="s">
        <v>636</v>
      </c>
    </row>
    <row r="473" customFormat="false" ht="15.75" hidden="false" customHeight="false" outlineLevel="0" collapsed="false">
      <c r="A473" s="24" t="s">
        <v>637</v>
      </c>
      <c r="B473" s="31" t="s">
        <v>20</v>
      </c>
      <c r="C473" s="35" t="s">
        <v>25</v>
      </c>
      <c r="D473" s="35" t="s">
        <v>22</v>
      </c>
      <c r="E473" s="35" t="s">
        <v>34</v>
      </c>
      <c r="F473" s="37" t="n">
        <v>46290</v>
      </c>
      <c r="G473" s="38" t="s">
        <v>638</v>
      </c>
    </row>
    <row r="474" customFormat="false" ht="15.75" hidden="false" customHeight="false" outlineLevel="0" collapsed="false">
      <c r="A474" s="24" t="s">
        <v>639</v>
      </c>
      <c r="B474" s="31" t="s">
        <v>640</v>
      </c>
      <c r="C474" s="35" t="s">
        <v>21</v>
      </c>
      <c r="D474" s="35" t="s">
        <v>22</v>
      </c>
      <c r="E474" s="35" t="s">
        <v>34</v>
      </c>
      <c r="F474" s="37" t="n">
        <v>46290</v>
      </c>
      <c r="G474" s="38" t="s">
        <v>641</v>
      </c>
    </row>
    <row r="475" customFormat="false" ht="15.75" hidden="false" customHeight="false" outlineLevel="0" collapsed="false">
      <c r="A475" s="24" t="s">
        <v>642</v>
      </c>
      <c r="B475" s="31" t="s">
        <v>20</v>
      </c>
      <c r="C475" s="35" t="s">
        <v>21</v>
      </c>
      <c r="D475" s="35" t="s">
        <v>22</v>
      </c>
      <c r="E475" s="35" t="s">
        <v>34</v>
      </c>
      <c r="F475" s="37" t="n">
        <v>46290</v>
      </c>
      <c r="G475" s="38" t="s">
        <v>614</v>
      </c>
    </row>
    <row r="476" customFormat="false" ht="15.75" hidden="false" customHeight="false" outlineLevel="0" collapsed="false">
      <c r="A476" s="24" t="s">
        <v>643</v>
      </c>
      <c r="B476" s="31" t="s">
        <v>20</v>
      </c>
      <c r="C476" s="35" t="s">
        <v>21</v>
      </c>
      <c r="D476" s="35" t="s">
        <v>22</v>
      </c>
      <c r="E476" s="35" t="s">
        <v>34</v>
      </c>
      <c r="F476" s="37" t="n">
        <v>46290</v>
      </c>
      <c r="G476" s="38" t="s">
        <v>610</v>
      </c>
    </row>
    <row r="477" customFormat="false" ht="15.75" hidden="false" customHeight="false" outlineLevel="0" collapsed="false">
      <c r="A477" s="24" t="s">
        <v>644</v>
      </c>
      <c r="B477" s="31" t="s">
        <v>117</v>
      </c>
      <c r="C477" s="35" t="s">
        <v>21</v>
      </c>
      <c r="D477" s="35" t="s">
        <v>22</v>
      </c>
      <c r="E477" s="35" t="s">
        <v>34</v>
      </c>
      <c r="F477" s="37" t="n">
        <v>46290</v>
      </c>
      <c r="G477" s="38" t="s">
        <v>614</v>
      </c>
    </row>
    <row r="478" customFormat="false" ht="15.75" hidden="false" customHeight="false" outlineLevel="0" collapsed="false">
      <c r="A478" s="24" t="s">
        <v>645</v>
      </c>
      <c r="B478" s="31" t="s">
        <v>20</v>
      </c>
      <c r="C478" s="35" t="s">
        <v>21</v>
      </c>
      <c r="D478" s="35" t="s">
        <v>22</v>
      </c>
      <c r="E478" s="35" t="s">
        <v>34</v>
      </c>
      <c r="F478" s="37" t="n">
        <v>46290</v>
      </c>
      <c r="G478" s="38" t="s">
        <v>646</v>
      </c>
    </row>
    <row r="479" customFormat="false" ht="15.75" hidden="false" customHeight="false" outlineLevel="0" collapsed="false">
      <c r="A479" s="24" t="s">
        <v>647</v>
      </c>
      <c r="B479" s="31" t="s">
        <v>20</v>
      </c>
      <c r="C479" s="35" t="s">
        <v>21</v>
      </c>
      <c r="D479" s="35" t="s">
        <v>22</v>
      </c>
      <c r="E479" s="35" t="s">
        <v>34</v>
      </c>
      <c r="F479" s="37" t="n">
        <v>46290</v>
      </c>
      <c r="G479" s="38" t="s">
        <v>401</v>
      </c>
    </row>
    <row r="480" customFormat="false" ht="15.75" hidden="false" customHeight="false" outlineLevel="0" collapsed="false">
      <c r="A480" s="24" t="s">
        <v>648</v>
      </c>
      <c r="B480" s="31" t="s">
        <v>20</v>
      </c>
      <c r="C480" s="35" t="s">
        <v>21</v>
      </c>
      <c r="D480" s="35" t="s">
        <v>22</v>
      </c>
      <c r="E480" s="35" t="s">
        <v>34</v>
      </c>
      <c r="F480" s="37" t="n">
        <v>46290</v>
      </c>
      <c r="G480" s="38" t="s">
        <v>649</v>
      </c>
    </row>
    <row r="481" customFormat="false" ht="15.75" hidden="false" customHeight="false" outlineLevel="0" collapsed="false">
      <c r="A481" s="24" t="s">
        <v>650</v>
      </c>
      <c r="B481" s="31" t="s">
        <v>20</v>
      </c>
      <c r="C481" s="35" t="s">
        <v>21</v>
      </c>
      <c r="D481" s="35" t="s">
        <v>22</v>
      </c>
      <c r="E481" s="35" t="s">
        <v>34</v>
      </c>
      <c r="F481" s="37" t="n">
        <v>46290</v>
      </c>
      <c r="G481" s="38" t="s">
        <v>614</v>
      </c>
    </row>
    <row r="482" customFormat="false" ht="15.75" hidden="false" customHeight="false" outlineLevel="0" collapsed="false">
      <c r="A482" s="24" t="s">
        <v>651</v>
      </c>
      <c r="B482" s="31" t="s">
        <v>652</v>
      </c>
      <c r="C482" s="35" t="s">
        <v>21</v>
      </c>
      <c r="D482" s="35" t="s">
        <v>22</v>
      </c>
      <c r="E482" s="35" t="s">
        <v>34</v>
      </c>
      <c r="F482" s="37" t="n">
        <v>46290</v>
      </c>
      <c r="G482" s="38" t="s">
        <v>90</v>
      </c>
    </row>
    <row r="483" customFormat="false" ht="15.75" hidden="false" customHeight="false" outlineLevel="0" collapsed="false">
      <c r="A483" s="24" t="s">
        <v>653</v>
      </c>
      <c r="B483" s="31" t="s">
        <v>185</v>
      </c>
      <c r="C483" s="35" t="s">
        <v>21</v>
      </c>
      <c r="D483" s="35" t="s">
        <v>22</v>
      </c>
      <c r="E483" s="35" t="s">
        <v>34</v>
      </c>
      <c r="F483" s="37" t="n">
        <v>46290</v>
      </c>
      <c r="G483" s="38" t="s">
        <v>27</v>
      </c>
    </row>
    <row r="484" customFormat="false" ht="15.75" hidden="false" customHeight="false" outlineLevel="0" collapsed="false">
      <c r="A484" s="24" t="s">
        <v>654</v>
      </c>
      <c r="B484" s="31" t="s">
        <v>20</v>
      </c>
      <c r="C484" s="35" t="s">
        <v>25</v>
      </c>
      <c r="D484" s="35" t="s">
        <v>22</v>
      </c>
      <c r="E484" s="35" t="s">
        <v>34</v>
      </c>
      <c r="F484" s="37" t="n">
        <v>46290</v>
      </c>
      <c r="G484" s="38" t="s">
        <v>655</v>
      </c>
    </row>
    <row r="485" customFormat="false" ht="15.75" hidden="false" customHeight="false" outlineLevel="0" collapsed="false">
      <c r="A485" s="24" t="s">
        <v>656</v>
      </c>
      <c r="B485" s="31" t="s">
        <v>20</v>
      </c>
      <c r="C485" s="35" t="s">
        <v>21</v>
      </c>
      <c r="D485" s="35" t="s">
        <v>22</v>
      </c>
      <c r="E485" s="35" t="s">
        <v>26</v>
      </c>
      <c r="F485" s="37" t="n">
        <v>46290</v>
      </c>
      <c r="G485" s="38"/>
    </row>
    <row r="486" customFormat="false" ht="15.75" hidden="false" customHeight="false" outlineLevel="0" collapsed="false">
      <c r="A486" s="24" t="s">
        <v>657</v>
      </c>
      <c r="B486" s="31" t="s">
        <v>20</v>
      </c>
      <c r="C486" s="35" t="s">
        <v>25</v>
      </c>
      <c r="D486" s="35" t="s">
        <v>22</v>
      </c>
      <c r="E486" s="35" t="s">
        <v>34</v>
      </c>
      <c r="F486" s="37" t="n">
        <v>46290</v>
      </c>
      <c r="G486" s="38"/>
    </row>
    <row r="487" customFormat="false" ht="15.75" hidden="false" customHeight="false" outlineLevel="0" collapsed="false">
      <c r="A487" s="24" t="s">
        <v>658</v>
      </c>
      <c r="B487" s="31" t="s">
        <v>20</v>
      </c>
      <c r="C487" s="35" t="s">
        <v>21</v>
      </c>
      <c r="D487" s="35" t="s">
        <v>22</v>
      </c>
      <c r="E487" s="35" t="s">
        <v>26</v>
      </c>
      <c r="F487" s="37" t="n">
        <v>46290</v>
      </c>
      <c r="G487" s="38" t="s">
        <v>38</v>
      </c>
    </row>
    <row r="488" customFormat="false" ht="15.75" hidden="false" customHeight="false" outlineLevel="0" collapsed="false">
      <c r="A488" s="24" t="s">
        <v>659</v>
      </c>
      <c r="B488" s="31" t="s">
        <v>185</v>
      </c>
      <c r="C488" s="35" t="s">
        <v>21</v>
      </c>
      <c r="D488" s="35" t="s">
        <v>22</v>
      </c>
      <c r="E488" s="35" t="s">
        <v>26</v>
      </c>
      <c r="F488" s="37" t="n">
        <v>46290</v>
      </c>
      <c r="G488" s="38" t="s">
        <v>660</v>
      </c>
    </row>
    <row r="489" customFormat="false" ht="15.75" hidden="false" customHeight="false" outlineLevel="0" collapsed="false">
      <c r="A489" s="24" t="s">
        <v>661</v>
      </c>
      <c r="B489" s="31" t="s">
        <v>616</v>
      </c>
      <c r="C489" s="35" t="s">
        <v>25</v>
      </c>
      <c r="D489" s="35" t="s">
        <v>22</v>
      </c>
      <c r="E489" s="35" t="s">
        <v>23</v>
      </c>
      <c r="F489" s="37" t="n">
        <v>46290</v>
      </c>
      <c r="G489" s="38"/>
    </row>
    <row r="490" customFormat="false" ht="15.75" hidden="false" customHeight="false" outlineLevel="0" collapsed="false">
      <c r="A490" s="24" t="s">
        <v>662</v>
      </c>
      <c r="B490" s="31" t="s">
        <v>20</v>
      </c>
      <c r="C490" s="35" t="s">
        <v>21</v>
      </c>
      <c r="D490" s="35" t="s">
        <v>22</v>
      </c>
      <c r="E490" s="35" t="s">
        <v>34</v>
      </c>
      <c r="F490" s="37" t="n">
        <v>46290</v>
      </c>
      <c r="G490" s="38"/>
    </row>
    <row r="491" customFormat="false" ht="15.75" hidden="false" customHeight="false" outlineLevel="0" collapsed="false">
      <c r="A491" s="24" t="s">
        <v>663</v>
      </c>
      <c r="B491" s="31" t="s">
        <v>20</v>
      </c>
      <c r="C491" s="35" t="s">
        <v>664</v>
      </c>
      <c r="D491" s="35" t="s">
        <v>22</v>
      </c>
      <c r="E491" s="35" t="s">
        <v>26</v>
      </c>
      <c r="F491" s="37" t="n">
        <v>46290</v>
      </c>
      <c r="G491" s="38"/>
    </row>
    <row r="492" customFormat="false" ht="15.75" hidden="false" customHeight="false" outlineLevel="0" collapsed="false">
      <c r="A492" s="24" t="s">
        <v>665</v>
      </c>
      <c r="B492" s="31" t="s">
        <v>20</v>
      </c>
      <c r="C492" s="35" t="s">
        <v>25</v>
      </c>
      <c r="D492" s="35" t="s">
        <v>22</v>
      </c>
      <c r="E492" s="35" t="s">
        <v>34</v>
      </c>
      <c r="F492" s="37" t="n">
        <v>46290</v>
      </c>
      <c r="G492" s="38" t="s">
        <v>614</v>
      </c>
    </row>
    <row r="493" customFormat="false" ht="15.75" hidden="false" customHeight="false" outlineLevel="0" collapsed="false">
      <c r="A493" s="24" t="s">
        <v>666</v>
      </c>
      <c r="B493" s="31" t="s">
        <v>185</v>
      </c>
      <c r="C493" s="35" t="s">
        <v>25</v>
      </c>
      <c r="D493" s="35" t="s">
        <v>22</v>
      </c>
      <c r="E493" s="35" t="s">
        <v>23</v>
      </c>
      <c r="F493" s="37" t="n">
        <v>46290</v>
      </c>
      <c r="G493" s="38" t="s">
        <v>27</v>
      </c>
    </row>
    <row r="494" customFormat="false" ht="15.75" hidden="false" customHeight="false" outlineLevel="0" collapsed="false">
      <c r="A494" s="24" t="s">
        <v>667</v>
      </c>
      <c r="B494" s="31" t="s">
        <v>20</v>
      </c>
      <c r="C494" s="35" t="s">
        <v>25</v>
      </c>
      <c r="D494" s="35" t="s">
        <v>22</v>
      </c>
      <c r="E494" s="35" t="s">
        <v>34</v>
      </c>
      <c r="F494" s="37" t="n">
        <v>46290</v>
      </c>
      <c r="G494" s="38"/>
    </row>
    <row r="495" customFormat="false" ht="15.75" hidden="false" customHeight="false" outlineLevel="0" collapsed="false">
      <c r="A495" s="24" t="s">
        <v>668</v>
      </c>
      <c r="B495" s="31" t="s">
        <v>20</v>
      </c>
      <c r="C495" s="35" t="s">
        <v>25</v>
      </c>
      <c r="D495" s="35" t="s">
        <v>22</v>
      </c>
      <c r="E495" s="35" t="s">
        <v>34</v>
      </c>
      <c r="F495" s="37" t="n">
        <v>46290</v>
      </c>
      <c r="G495" s="38"/>
    </row>
    <row r="496" customFormat="false" ht="15.75" hidden="false" customHeight="false" outlineLevel="0" collapsed="false">
      <c r="A496" s="24" t="s">
        <v>669</v>
      </c>
      <c r="B496" s="31" t="s">
        <v>129</v>
      </c>
      <c r="C496" s="35" t="s">
        <v>21</v>
      </c>
      <c r="D496" s="35" t="s">
        <v>22</v>
      </c>
      <c r="E496" s="35" t="s">
        <v>34</v>
      </c>
      <c r="F496" s="37" t="n">
        <v>46290</v>
      </c>
      <c r="G496" s="38"/>
    </row>
    <row r="497" customFormat="false" ht="15.75" hidden="false" customHeight="false" outlineLevel="0" collapsed="false">
      <c r="A497" s="24" t="s">
        <v>670</v>
      </c>
      <c r="B497" s="31" t="s">
        <v>671</v>
      </c>
      <c r="C497" s="35" t="s">
        <v>25</v>
      </c>
      <c r="D497" s="35" t="s">
        <v>22</v>
      </c>
      <c r="E497" s="35" t="s">
        <v>26</v>
      </c>
      <c r="F497" s="37" t="n">
        <v>46290</v>
      </c>
      <c r="G497" s="38" t="s">
        <v>672</v>
      </c>
    </row>
    <row r="498" customFormat="false" ht="15.75" hidden="false" customHeight="false" outlineLevel="0" collapsed="false">
      <c r="A498" s="24" t="s">
        <v>673</v>
      </c>
      <c r="B498" s="31" t="s">
        <v>616</v>
      </c>
      <c r="C498" s="35" t="s">
        <v>25</v>
      </c>
      <c r="D498" s="35" t="s">
        <v>22</v>
      </c>
      <c r="E498" s="35" t="s">
        <v>34</v>
      </c>
      <c r="F498" s="37" t="n">
        <v>46290</v>
      </c>
      <c r="G498" s="38"/>
    </row>
    <row r="499" customFormat="false" ht="15.75" hidden="false" customHeight="false" outlineLevel="0" collapsed="false">
      <c r="A499" s="24" t="s">
        <v>674</v>
      </c>
      <c r="B499" s="31" t="s">
        <v>20</v>
      </c>
      <c r="C499" s="35" t="s">
        <v>25</v>
      </c>
      <c r="D499" s="35" t="s">
        <v>22</v>
      </c>
      <c r="E499" s="35" t="s">
        <v>23</v>
      </c>
      <c r="F499" s="37" t="n">
        <v>46290</v>
      </c>
      <c r="G499" s="38" t="s">
        <v>38</v>
      </c>
    </row>
    <row r="500" customFormat="false" ht="15.75" hidden="false" customHeight="false" outlineLevel="0" collapsed="false">
      <c r="A500" s="24" t="s">
        <v>675</v>
      </c>
      <c r="B500" s="31" t="s">
        <v>20</v>
      </c>
      <c r="C500" s="35" t="s">
        <v>25</v>
      </c>
      <c r="D500" s="35" t="s">
        <v>22</v>
      </c>
      <c r="E500" s="35" t="s">
        <v>34</v>
      </c>
      <c r="F500" s="37" t="n">
        <v>46290</v>
      </c>
      <c r="G500" s="38"/>
    </row>
    <row r="501" customFormat="false" ht="15.75" hidden="false" customHeight="false" outlineLevel="0" collapsed="false">
      <c r="A501" s="24" t="s">
        <v>676</v>
      </c>
      <c r="B501" s="31" t="s">
        <v>20</v>
      </c>
      <c r="C501" s="35" t="s">
        <v>25</v>
      </c>
      <c r="D501" s="35" t="s">
        <v>22</v>
      </c>
      <c r="E501" s="35" t="s">
        <v>26</v>
      </c>
      <c r="F501" s="37" t="n">
        <v>46290</v>
      </c>
      <c r="G501" s="38"/>
    </row>
    <row r="502" customFormat="false" ht="15.75" hidden="false" customHeight="false" outlineLevel="0" collapsed="false">
      <c r="A502" s="24" t="s">
        <v>677</v>
      </c>
      <c r="B502" s="31" t="s">
        <v>20</v>
      </c>
      <c r="C502" s="35" t="s">
        <v>25</v>
      </c>
      <c r="D502" s="35" t="s">
        <v>22</v>
      </c>
      <c r="E502" s="35" t="s">
        <v>26</v>
      </c>
      <c r="F502" s="37" t="n">
        <v>46290</v>
      </c>
      <c r="G502" s="38"/>
    </row>
    <row r="503" customFormat="false" ht="15.75" hidden="false" customHeight="false" outlineLevel="0" collapsed="false">
      <c r="A503" s="24" t="s">
        <v>678</v>
      </c>
      <c r="B503" s="31" t="s">
        <v>355</v>
      </c>
      <c r="C503" s="35" t="s">
        <v>25</v>
      </c>
      <c r="D503" s="35" t="s">
        <v>22</v>
      </c>
      <c r="E503" s="35" t="s">
        <v>34</v>
      </c>
      <c r="F503" s="37" t="n">
        <v>46290</v>
      </c>
      <c r="G503" s="38"/>
    </row>
    <row r="504" customFormat="false" ht="15.75" hidden="false" customHeight="false" outlineLevel="0" collapsed="false">
      <c r="A504" s="24" t="s">
        <v>679</v>
      </c>
      <c r="B504" s="31" t="s">
        <v>680</v>
      </c>
      <c r="C504" s="35" t="s">
        <v>25</v>
      </c>
      <c r="D504" s="35" t="s">
        <v>22</v>
      </c>
      <c r="E504" s="35" t="s">
        <v>34</v>
      </c>
      <c r="F504" s="37" t="n">
        <v>46290</v>
      </c>
      <c r="G504" s="38"/>
    </row>
    <row r="505" customFormat="false" ht="15.75" hidden="false" customHeight="false" outlineLevel="0" collapsed="false">
      <c r="A505" s="51" t="s">
        <v>467</v>
      </c>
      <c r="B505" s="31" t="s">
        <v>20</v>
      </c>
      <c r="C505" s="31" t="s">
        <v>25</v>
      </c>
      <c r="D505" s="31" t="s">
        <v>22</v>
      </c>
      <c r="E505" s="31" t="s">
        <v>34</v>
      </c>
      <c r="F505" s="53" t="n">
        <v>46290</v>
      </c>
      <c r="G505" s="31"/>
    </row>
    <row r="507" customFormat="false" ht="15.75" hidden="false" customHeight="false" outlineLevel="0" collapsed="false">
      <c r="A507" s="24" t="s">
        <v>681</v>
      </c>
      <c r="B507" s="24" t="s">
        <v>143</v>
      </c>
      <c r="C507" s="24" t="s">
        <v>25</v>
      </c>
      <c r="D507" s="24" t="s">
        <v>22</v>
      </c>
      <c r="E507" s="24" t="s">
        <v>26</v>
      </c>
      <c r="F507" s="54" t="n">
        <v>46291</v>
      </c>
      <c r="G507" s="24"/>
    </row>
    <row r="508" customFormat="false" ht="15.75" hidden="false" customHeight="false" outlineLevel="0" collapsed="false">
      <c r="A508" s="24" t="s">
        <v>682</v>
      </c>
      <c r="B508" s="24" t="s">
        <v>214</v>
      </c>
      <c r="C508" s="24" t="s">
        <v>635</v>
      </c>
      <c r="D508" s="24" t="s">
        <v>22</v>
      </c>
      <c r="E508" s="24" t="s">
        <v>34</v>
      </c>
      <c r="F508" s="54" t="n">
        <v>46291</v>
      </c>
      <c r="G508" s="24" t="s">
        <v>683</v>
      </c>
    </row>
    <row r="509" customFormat="false" ht="15.75" hidden="false" customHeight="false" outlineLevel="0" collapsed="false">
      <c r="A509" s="24" t="s">
        <v>684</v>
      </c>
      <c r="B509" s="24" t="s">
        <v>685</v>
      </c>
      <c r="C509" s="24" t="s">
        <v>21</v>
      </c>
      <c r="D509" s="24" t="s">
        <v>22</v>
      </c>
      <c r="E509" s="24" t="s">
        <v>34</v>
      </c>
      <c r="F509" s="54" t="n">
        <v>46291</v>
      </c>
      <c r="G509" s="24"/>
    </row>
    <row r="511" customFormat="false" ht="15.75" hidden="false" customHeight="false" outlineLevel="0" collapsed="false">
      <c r="A511" s="24" t="s">
        <v>686</v>
      </c>
      <c r="B511" s="24" t="s">
        <v>20</v>
      </c>
      <c r="C511" s="24" t="s">
        <v>25</v>
      </c>
      <c r="D511" s="24" t="s">
        <v>22</v>
      </c>
      <c r="E511" s="24" t="s">
        <v>34</v>
      </c>
      <c r="F511" s="54" t="n">
        <v>46292</v>
      </c>
      <c r="G511" s="24" t="s">
        <v>614</v>
      </c>
    </row>
    <row r="512" customFormat="false" ht="15.75" hidden="false" customHeight="false" outlineLevel="0" collapsed="false">
      <c r="A512" s="24" t="s">
        <v>687</v>
      </c>
      <c r="B512" s="24" t="s">
        <v>20</v>
      </c>
      <c r="C512" s="24" t="s">
        <v>25</v>
      </c>
      <c r="D512" s="24" t="s">
        <v>22</v>
      </c>
      <c r="E512" s="24" t="s">
        <v>34</v>
      </c>
      <c r="F512" s="54" t="n">
        <v>46292</v>
      </c>
      <c r="G512" s="24" t="s">
        <v>27</v>
      </c>
    </row>
    <row r="515" customFormat="false" ht="15.75" hidden="false" customHeight="false" outlineLevel="0" collapsed="false">
      <c r="A515" s="24" t="s">
        <v>688</v>
      </c>
      <c r="B515" s="24" t="s">
        <v>616</v>
      </c>
      <c r="C515" s="24" t="s">
        <v>21</v>
      </c>
      <c r="D515" s="24" t="s">
        <v>22</v>
      </c>
      <c r="E515" s="24" t="s">
        <v>26</v>
      </c>
      <c r="F515" s="54" t="n">
        <v>46293</v>
      </c>
      <c r="G515" s="24"/>
    </row>
    <row r="516" customFormat="false" ht="15.75" hidden="false" customHeight="false" outlineLevel="0" collapsed="false">
      <c r="A516" s="24" t="s">
        <v>689</v>
      </c>
      <c r="B516" s="24" t="s">
        <v>20</v>
      </c>
      <c r="C516" s="24" t="s">
        <v>21</v>
      </c>
      <c r="D516" s="24" t="s">
        <v>22</v>
      </c>
      <c r="E516" s="24" t="s">
        <v>26</v>
      </c>
      <c r="F516" s="54" t="n">
        <v>46293</v>
      </c>
      <c r="G516" s="24" t="s">
        <v>614</v>
      </c>
    </row>
    <row r="517" customFormat="false" ht="15.75" hidden="false" customHeight="false" outlineLevel="0" collapsed="false">
      <c r="A517" s="24" t="s">
        <v>690</v>
      </c>
      <c r="B517" s="24" t="s">
        <v>20</v>
      </c>
      <c r="C517" s="24" t="s">
        <v>21</v>
      </c>
      <c r="D517" s="24" t="s">
        <v>22</v>
      </c>
      <c r="E517" s="24" t="s">
        <v>26</v>
      </c>
      <c r="F517" s="54" t="n">
        <v>46293</v>
      </c>
      <c r="G517" s="24" t="s">
        <v>614</v>
      </c>
    </row>
    <row r="518" customFormat="false" ht="15.75" hidden="false" customHeight="false" outlineLevel="0" collapsed="false">
      <c r="A518" s="24" t="s">
        <v>691</v>
      </c>
      <c r="B518" s="24" t="s">
        <v>20</v>
      </c>
      <c r="C518" s="24" t="s">
        <v>25</v>
      </c>
      <c r="D518" s="24" t="s">
        <v>22</v>
      </c>
      <c r="E518" s="24" t="s">
        <v>34</v>
      </c>
      <c r="F518" s="54" t="n">
        <v>46293</v>
      </c>
      <c r="G518" s="24"/>
    </row>
    <row r="519" customFormat="false" ht="15.75" hidden="false" customHeight="false" outlineLevel="0" collapsed="false">
      <c r="A519" s="24" t="s">
        <v>692</v>
      </c>
      <c r="B519" s="24" t="s">
        <v>20</v>
      </c>
      <c r="C519" s="24" t="s">
        <v>21</v>
      </c>
      <c r="D519" s="24" t="s">
        <v>22</v>
      </c>
      <c r="E519" s="24" t="s">
        <v>26</v>
      </c>
      <c r="F519" s="54" t="n">
        <v>46293</v>
      </c>
      <c r="G519" s="24" t="s">
        <v>693</v>
      </c>
    </row>
    <row r="520" customFormat="false" ht="15.75" hidden="false" customHeight="false" outlineLevel="0" collapsed="false">
      <c r="A520" s="24" t="s">
        <v>694</v>
      </c>
      <c r="B520" s="24" t="s">
        <v>20</v>
      </c>
      <c r="C520" s="24" t="s">
        <v>25</v>
      </c>
      <c r="D520" s="24" t="s">
        <v>22</v>
      </c>
      <c r="E520" s="24" t="s">
        <v>26</v>
      </c>
      <c r="F520" s="54" t="n">
        <v>46293</v>
      </c>
      <c r="G520" s="24" t="s">
        <v>172</v>
      </c>
    </row>
    <row r="521" customFormat="false" ht="15.75" hidden="false" customHeight="false" outlineLevel="0" collapsed="false">
      <c r="A521" s="24" t="s">
        <v>695</v>
      </c>
      <c r="B521" s="24" t="s">
        <v>20</v>
      </c>
      <c r="C521" s="24" t="s">
        <v>21</v>
      </c>
      <c r="D521" s="24" t="s">
        <v>22</v>
      </c>
      <c r="E521" s="24" t="s">
        <v>26</v>
      </c>
      <c r="F521" s="54" t="n">
        <v>46293</v>
      </c>
      <c r="G521" s="24" t="s">
        <v>71</v>
      </c>
    </row>
    <row r="522" customFormat="false" ht="15.75" hidden="false" customHeight="false" outlineLevel="0" collapsed="false">
      <c r="A522" s="24" t="s">
        <v>696</v>
      </c>
      <c r="B522" s="24" t="s">
        <v>20</v>
      </c>
      <c r="C522" s="24" t="s">
        <v>21</v>
      </c>
      <c r="D522" s="24" t="s">
        <v>22</v>
      </c>
      <c r="E522" s="24" t="s">
        <v>26</v>
      </c>
      <c r="F522" s="54" t="n">
        <v>46293</v>
      </c>
      <c r="G522" s="24" t="s">
        <v>697</v>
      </c>
    </row>
    <row r="523" customFormat="false" ht="15.75" hidden="false" customHeight="false" outlineLevel="0" collapsed="false">
      <c r="A523" s="24" t="s">
        <v>698</v>
      </c>
      <c r="B523" s="24" t="s">
        <v>616</v>
      </c>
      <c r="C523" s="24" t="s">
        <v>21</v>
      </c>
      <c r="D523" s="24" t="s">
        <v>22</v>
      </c>
      <c r="E523" s="24" t="s">
        <v>34</v>
      </c>
      <c r="F523" s="54" t="n">
        <v>46293</v>
      </c>
      <c r="G523" s="24" t="s">
        <v>614</v>
      </c>
    </row>
    <row r="524" customFormat="false" ht="15.75" hidden="false" customHeight="false" outlineLevel="0" collapsed="false">
      <c r="A524" s="24" t="s">
        <v>699</v>
      </c>
      <c r="B524" s="31" t="s">
        <v>20</v>
      </c>
      <c r="C524" s="35" t="s">
        <v>25</v>
      </c>
      <c r="D524" s="35" t="s">
        <v>22</v>
      </c>
      <c r="E524" s="35" t="s">
        <v>34</v>
      </c>
      <c r="F524" s="37" t="n">
        <v>46293</v>
      </c>
      <c r="G524" s="55" t="s">
        <v>697</v>
      </c>
    </row>
    <row r="525" customFormat="false" ht="15.75" hidden="false" customHeight="false" outlineLevel="0" collapsed="false">
      <c r="A525" s="24" t="s">
        <v>700</v>
      </c>
      <c r="B525" s="31" t="s">
        <v>20</v>
      </c>
      <c r="C525" s="35" t="s">
        <v>25</v>
      </c>
      <c r="D525" s="35" t="s">
        <v>22</v>
      </c>
      <c r="E525" s="35" t="s">
        <v>34</v>
      </c>
      <c r="F525" s="37" t="n">
        <v>46293</v>
      </c>
      <c r="G525" s="55" t="s">
        <v>701</v>
      </c>
    </row>
    <row r="526" customFormat="false" ht="15.75" hidden="false" customHeight="false" outlineLevel="0" collapsed="false">
      <c r="A526" s="24" t="s">
        <v>702</v>
      </c>
      <c r="B526" s="31" t="s">
        <v>20</v>
      </c>
      <c r="C526" s="35" t="s">
        <v>224</v>
      </c>
      <c r="D526" s="31" t="s">
        <v>22</v>
      </c>
      <c r="E526" s="31" t="s">
        <v>34</v>
      </c>
      <c r="F526" s="37" t="n">
        <v>46293</v>
      </c>
      <c r="G526" s="39" t="s">
        <v>703</v>
      </c>
    </row>
    <row r="527" customFormat="false" ht="15.75" hidden="false" customHeight="false" outlineLevel="0" collapsed="false">
      <c r="A527" s="24" t="s">
        <v>704</v>
      </c>
      <c r="B527" s="35" t="s">
        <v>705</v>
      </c>
      <c r="C527" s="35" t="s">
        <v>21</v>
      </c>
      <c r="D527" s="35" t="s">
        <v>22</v>
      </c>
      <c r="E527" s="35" t="s">
        <v>34</v>
      </c>
      <c r="F527" s="37" t="n">
        <v>46293</v>
      </c>
      <c r="G527" s="38" t="s">
        <v>614</v>
      </c>
    </row>
    <row r="528" customFormat="false" ht="15.75" hidden="false" customHeight="false" outlineLevel="0" collapsed="false">
      <c r="A528" s="24" t="s">
        <v>706</v>
      </c>
      <c r="B528" s="31" t="s">
        <v>20</v>
      </c>
      <c r="C528" s="35" t="s">
        <v>21</v>
      </c>
      <c r="D528" s="35" t="s">
        <v>22</v>
      </c>
      <c r="E528" s="35" t="s">
        <v>34</v>
      </c>
      <c r="F528" s="37" t="n">
        <v>46293</v>
      </c>
      <c r="G528" s="40"/>
    </row>
    <row r="529" customFormat="false" ht="15.75" hidden="false" customHeight="false" outlineLevel="0" collapsed="false">
      <c r="A529" s="24" t="s">
        <v>707</v>
      </c>
      <c r="B529" s="31" t="s">
        <v>20</v>
      </c>
      <c r="C529" s="35" t="s">
        <v>21</v>
      </c>
      <c r="D529" s="35" t="s">
        <v>22</v>
      </c>
      <c r="E529" s="35" t="s">
        <v>34</v>
      </c>
      <c r="F529" s="37" t="n">
        <v>46293</v>
      </c>
      <c r="G529" s="39"/>
    </row>
    <row r="530" customFormat="false" ht="15.75" hidden="false" customHeight="false" outlineLevel="0" collapsed="false">
      <c r="A530" s="24" t="s">
        <v>708</v>
      </c>
      <c r="B530" s="31" t="s">
        <v>20</v>
      </c>
      <c r="C530" s="35" t="s">
        <v>21</v>
      </c>
      <c r="D530" s="35" t="s">
        <v>22</v>
      </c>
      <c r="E530" s="35" t="s">
        <v>34</v>
      </c>
      <c r="F530" s="37" t="n">
        <v>46293</v>
      </c>
      <c r="G530" s="38" t="s">
        <v>709</v>
      </c>
    </row>
    <row r="531" customFormat="false" ht="15.75" hidden="false" customHeight="false" outlineLevel="0" collapsed="false">
      <c r="A531" s="24" t="s">
        <v>710</v>
      </c>
      <c r="B531" s="31" t="s">
        <v>20</v>
      </c>
      <c r="C531" s="35" t="s">
        <v>25</v>
      </c>
      <c r="D531" s="35" t="s">
        <v>711</v>
      </c>
      <c r="E531" s="35" t="s">
        <v>34</v>
      </c>
      <c r="F531" s="37" t="n">
        <v>46293</v>
      </c>
      <c r="G531" s="38" t="s">
        <v>712</v>
      </c>
    </row>
    <row r="532" customFormat="false" ht="15.75" hidden="false" customHeight="false" outlineLevel="0" collapsed="false">
      <c r="A532" s="24" t="s">
        <v>713</v>
      </c>
      <c r="B532" s="40" t="s">
        <v>20</v>
      </c>
      <c r="C532" s="40" t="s">
        <v>21</v>
      </c>
      <c r="D532" s="40" t="s">
        <v>22</v>
      </c>
      <c r="E532" s="40" t="s">
        <v>29</v>
      </c>
      <c r="F532" s="37" t="n">
        <v>46293</v>
      </c>
      <c r="G532" s="48" t="s">
        <v>71</v>
      </c>
    </row>
    <row r="533" customFormat="false" ht="15.75" hidden="false" customHeight="false" outlineLevel="0" collapsed="false">
      <c r="A533" s="24" t="s">
        <v>714</v>
      </c>
      <c r="B533" s="40" t="s">
        <v>20</v>
      </c>
      <c r="C533" s="40" t="s">
        <v>21</v>
      </c>
      <c r="D533" s="40" t="s">
        <v>22</v>
      </c>
      <c r="E533" s="40" t="s">
        <v>29</v>
      </c>
      <c r="F533" s="37" t="n">
        <v>46293</v>
      </c>
      <c r="G533" s="39" t="s">
        <v>71</v>
      </c>
    </row>
    <row r="534" customFormat="false" ht="15.75" hidden="false" customHeight="false" outlineLevel="0" collapsed="false">
      <c r="A534" s="24" t="s">
        <v>715</v>
      </c>
      <c r="B534" s="40" t="s">
        <v>20</v>
      </c>
      <c r="C534" s="35" t="s">
        <v>25</v>
      </c>
      <c r="D534" s="40" t="s">
        <v>22</v>
      </c>
      <c r="E534" s="40" t="s">
        <v>29</v>
      </c>
      <c r="F534" s="37" t="n">
        <v>46293</v>
      </c>
      <c r="G534" s="39" t="s">
        <v>716</v>
      </c>
    </row>
    <row r="537" customFormat="false" ht="15.75" hidden="false" customHeight="false" outlineLevel="0" collapsed="false">
      <c r="A537" s="24" t="s">
        <v>717</v>
      </c>
      <c r="B537" s="24"/>
      <c r="C537" s="24" t="s">
        <v>25</v>
      </c>
      <c r="D537" s="24" t="s">
        <v>22</v>
      </c>
      <c r="E537" s="24" t="s">
        <v>26</v>
      </c>
      <c r="F537" s="54" t="n">
        <v>46294</v>
      </c>
      <c r="G537" s="24" t="s">
        <v>614</v>
      </c>
    </row>
    <row r="538" customFormat="false" ht="15.75" hidden="false" customHeight="false" outlineLevel="0" collapsed="false">
      <c r="A538" s="24" t="s">
        <v>718</v>
      </c>
      <c r="B538" s="24" t="s">
        <v>20</v>
      </c>
      <c r="C538" s="24" t="s">
        <v>25</v>
      </c>
      <c r="D538" s="24" t="s">
        <v>22</v>
      </c>
      <c r="E538" s="24" t="s">
        <v>34</v>
      </c>
      <c r="F538" s="54" t="n">
        <v>46294</v>
      </c>
      <c r="G538" s="24"/>
    </row>
    <row r="539" customFormat="false" ht="15.75" hidden="false" customHeight="false" outlineLevel="0" collapsed="false">
      <c r="A539" s="24" t="s">
        <v>719</v>
      </c>
      <c r="B539" s="24" t="s">
        <v>20</v>
      </c>
      <c r="C539" s="24" t="s">
        <v>21</v>
      </c>
      <c r="D539" s="24" t="s">
        <v>22</v>
      </c>
      <c r="E539" s="24" t="s">
        <v>34</v>
      </c>
      <c r="F539" s="54" t="n">
        <v>46294</v>
      </c>
      <c r="G539" s="24" t="s">
        <v>27</v>
      </c>
    </row>
    <row r="540" customFormat="false" ht="15.75" hidden="false" customHeight="false" outlineLevel="0" collapsed="false">
      <c r="A540" s="24" t="s">
        <v>720</v>
      </c>
      <c r="B540" s="31" t="s">
        <v>20</v>
      </c>
      <c r="C540" s="35" t="s">
        <v>21</v>
      </c>
      <c r="D540" s="35" t="s">
        <v>22</v>
      </c>
      <c r="E540" s="35" t="s">
        <v>26</v>
      </c>
      <c r="F540" s="37" t="n">
        <v>46294</v>
      </c>
      <c r="G540" s="39"/>
    </row>
    <row r="541" customFormat="false" ht="15.75" hidden="false" customHeight="false" outlineLevel="0" collapsed="false">
      <c r="A541" s="24" t="s">
        <v>721</v>
      </c>
      <c r="B541" s="35" t="s">
        <v>20</v>
      </c>
      <c r="C541" s="35" t="s">
        <v>25</v>
      </c>
      <c r="D541" s="35" t="s">
        <v>22</v>
      </c>
      <c r="E541" s="35" t="s">
        <v>34</v>
      </c>
      <c r="F541" s="37" t="n">
        <v>46294</v>
      </c>
      <c r="G541" s="39"/>
    </row>
    <row r="542" customFormat="false" ht="15.75" hidden="false" customHeight="false" outlineLevel="0" collapsed="false">
      <c r="A542" s="24" t="s">
        <v>722</v>
      </c>
      <c r="B542" s="28" t="s">
        <v>20</v>
      </c>
      <c r="C542" s="35" t="s">
        <v>25</v>
      </c>
      <c r="D542" s="35" t="s">
        <v>22</v>
      </c>
      <c r="E542" s="35" t="s">
        <v>34</v>
      </c>
      <c r="F542" s="37" t="n">
        <v>46294</v>
      </c>
      <c r="G542" s="39"/>
    </row>
    <row r="543" customFormat="false" ht="15.75" hidden="false" customHeight="false" outlineLevel="0" collapsed="false">
      <c r="A543" s="24" t="s">
        <v>723</v>
      </c>
      <c r="B543" s="40" t="s">
        <v>214</v>
      </c>
      <c r="C543" s="35" t="s">
        <v>25</v>
      </c>
      <c r="D543" s="35" t="s">
        <v>22</v>
      </c>
      <c r="E543" s="35" t="s">
        <v>26</v>
      </c>
      <c r="F543" s="37" t="n">
        <v>46294</v>
      </c>
      <c r="G543" s="39"/>
    </row>
    <row r="544" customFormat="false" ht="15.75" hidden="false" customHeight="false" outlineLevel="0" collapsed="false">
      <c r="A544" s="24" t="s">
        <v>724</v>
      </c>
      <c r="B544" s="40" t="s">
        <v>20</v>
      </c>
      <c r="C544" s="35" t="s">
        <v>25</v>
      </c>
      <c r="D544" s="40" t="s">
        <v>22</v>
      </c>
      <c r="E544" s="40" t="s">
        <v>26</v>
      </c>
      <c r="F544" s="37" t="n">
        <v>46294</v>
      </c>
      <c r="G544" s="39"/>
    </row>
    <row r="547" customFormat="false" ht="15.75" hidden="false" customHeight="false" outlineLevel="0" collapsed="false">
      <c r="A547" s="24" t="s">
        <v>725</v>
      </c>
      <c r="B547" s="35" t="s">
        <v>20</v>
      </c>
      <c r="C547" s="35" t="s">
        <v>25</v>
      </c>
      <c r="D547" s="35" t="s">
        <v>22</v>
      </c>
      <c r="E547" s="35" t="s">
        <v>26</v>
      </c>
      <c r="F547" s="37" t="n">
        <v>46295</v>
      </c>
      <c r="G547" s="39" t="s">
        <v>726</v>
      </c>
      <c r="H547" s="43"/>
    </row>
    <row r="548" customFormat="false" ht="15.75" hidden="false" customHeight="false" outlineLevel="0" collapsed="false">
      <c r="A548" s="24" t="s">
        <v>727</v>
      </c>
      <c r="B548" s="35" t="s">
        <v>407</v>
      </c>
      <c r="C548" s="35" t="s">
        <v>25</v>
      </c>
      <c r="D548" s="35" t="s">
        <v>22</v>
      </c>
      <c r="E548" s="35" t="s">
        <v>26</v>
      </c>
      <c r="F548" s="37" t="n">
        <v>46295</v>
      </c>
      <c r="G548" s="39"/>
    </row>
    <row r="549" customFormat="false" ht="15.75" hidden="false" customHeight="false" outlineLevel="0" collapsed="false">
      <c r="A549" s="24" t="s">
        <v>728</v>
      </c>
      <c r="B549" s="35" t="s">
        <v>407</v>
      </c>
      <c r="C549" s="35" t="s">
        <v>25</v>
      </c>
      <c r="D549" s="35" t="s">
        <v>22</v>
      </c>
      <c r="E549" s="35" t="s">
        <v>26</v>
      </c>
      <c r="F549" s="37" t="n">
        <v>46295</v>
      </c>
      <c r="G549" s="39" t="s">
        <v>27</v>
      </c>
    </row>
    <row r="550" customFormat="false" ht="15.75" hidden="false" customHeight="false" outlineLevel="0" collapsed="false">
      <c r="A550" s="24" t="s">
        <v>729</v>
      </c>
      <c r="B550" s="35" t="s">
        <v>20</v>
      </c>
      <c r="C550" s="35" t="s">
        <v>21</v>
      </c>
      <c r="D550" s="35" t="s">
        <v>22</v>
      </c>
      <c r="E550" s="35" t="s">
        <v>26</v>
      </c>
      <c r="F550" s="37" t="n">
        <v>46295</v>
      </c>
      <c r="G550" s="39" t="s">
        <v>38</v>
      </c>
    </row>
    <row r="551" customFormat="false" ht="15.75" hidden="false" customHeight="false" outlineLevel="0" collapsed="false">
      <c r="A551" s="24" t="s">
        <v>730</v>
      </c>
      <c r="B551" s="35" t="s">
        <v>407</v>
      </c>
      <c r="C551" s="35" t="s">
        <v>25</v>
      </c>
      <c r="D551" s="35" t="s">
        <v>22</v>
      </c>
      <c r="E551" s="35" t="s">
        <v>26</v>
      </c>
      <c r="F551" s="37" t="n">
        <v>46295</v>
      </c>
      <c r="G551" s="39" t="s">
        <v>731</v>
      </c>
    </row>
    <row r="552" customFormat="false" ht="15.75" hidden="false" customHeight="false" outlineLevel="0" collapsed="false">
      <c r="A552" s="24" t="s">
        <v>732</v>
      </c>
      <c r="B552" s="35" t="s">
        <v>20</v>
      </c>
      <c r="C552" s="35" t="s">
        <v>21</v>
      </c>
      <c r="D552" s="35" t="s">
        <v>22</v>
      </c>
      <c r="E552" s="35" t="s">
        <v>26</v>
      </c>
      <c r="F552" s="37" t="n">
        <v>46295</v>
      </c>
      <c r="G552" s="39" t="s">
        <v>38</v>
      </c>
    </row>
    <row r="553" customFormat="false" ht="15.75" hidden="false" customHeight="false" outlineLevel="0" collapsed="false">
      <c r="A553" s="51" t="s">
        <v>733</v>
      </c>
      <c r="B553" s="51" t="s">
        <v>734</v>
      </c>
      <c r="C553" s="51" t="s">
        <v>25</v>
      </c>
      <c r="D553" s="51" t="s">
        <v>22</v>
      </c>
      <c r="E553" s="51" t="s">
        <v>34</v>
      </c>
      <c r="F553" s="21" t="n">
        <v>46266</v>
      </c>
      <c r="G553" s="51" t="s">
        <v>27</v>
      </c>
    </row>
  </sheetData>
  <hyperlinks>
    <hyperlink ref="G36" r:id="rId1" display="Lista C2P / Conferir na Riza: https://investidor.rizasec.com/operations/CID67-CUNHA01?accountId=86&amp;tab=payments"/>
    <hyperlink ref="G112" r:id="rId2" display="OPEA - https://app.opea.com.br/pt/emissoes/24I1419236"/>
    <hyperlink ref="G115" r:id="rId3" display="Olhar na OPEA: https://app.opea.com.br/pt/emissoes/24A1470431"/>
    <hyperlink ref="G163" r:id="rId4" display="OPEA - https://app.opea.com.br/pt/emissoes/23F150816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2" customFormat="false" ht="15.75" hidden="false" customHeight="false" outlineLevel="0" collapsed="false">
      <c r="A2" s="34" t="s">
        <v>735</v>
      </c>
      <c r="B2" s="56" t="s">
        <v>20</v>
      </c>
      <c r="C2" s="57" t="s">
        <v>25</v>
      </c>
      <c r="D2" s="57" t="s">
        <v>22</v>
      </c>
      <c r="E2" s="57" t="s">
        <v>29</v>
      </c>
      <c r="F2" s="36" t="n">
        <v>46297</v>
      </c>
      <c r="G2" s="58" t="s">
        <v>736</v>
      </c>
    </row>
    <row r="4" customFormat="false" ht="15.75" hidden="false" customHeight="false" outlineLevel="0" collapsed="false">
      <c r="A4" s="24" t="s">
        <v>737</v>
      </c>
      <c r="B4" s="31" t="s">
        <v>738</v>
      </c>
      <c r="C4" s="35" t="s">
        <v>21</v>
      </c>
      <c r="D4" s="35" t="s">
        <v>22</v>
      </c>
      <c r="E4" s="35" t="s">
        <v>26</v>
      </c>
      <c r="F4" s="36" t="n">
        <v>46298</v>
      </c>
      <c r="G4" s="38" t="s">
        <v>739</v>
      </c>
    </row>
    <row r="6" customFormat="false" ht="15.75" hidden="false" customHeight="false" outlineLevel="0" collapsed="false">
      <c r="A6" s="24" t="s">
        <v>740</v>
      </c>
      <c r="B6" s="31" t="s">
        <v>640</v>
      </c>
      <c r="C6" s="35" t="s">
        <v>21</v>
      </c>
      <c r="D6" s="35" t="s">
        <v>22</v>
      </c>
      <c r="E6" s="35" t="s">
        <v>34</v>
      </c>
      <c r="F6" s="36" t="n">
        <v>46300</v>
      </c>
      <c r="G6" s="31" t="s">
        <v>741</v>
      </c>
    </row>
    <row r="7" customFormat="false" ht="15.75" hidden="false" customHeight="false" outlineLevel="0" collapsed="false">
      <c r="A7" s="24" t="s">
        <v>742</v>
      </c>
      <c r="B7" s="31" t="s">
        <v>129</v>
      </c>
      <c r="C7" s="35" t="s">
        <v>21</v>
      </c>
      <c r="D7" s="35" t="s">
        <v>22</v>
      </c>
      <c r="E7" s="35" t="s">
        <v>26</v>
      </c>
      <c r="F7" s="37" t="n">
        <v>46300</v>
      </c>
      <c r="G7" s="38" t="s">
        <v>743</v>
      </c>
    </row>
    <row r="8" customFormat="false" ht="15.75" hidden="false" customHeight="false" outlineLevel="0" collapsed="false">
      <c r="A8" s="24" t="s">
        <v>744</v>
      </c>
      <c r="B8" s="31" t="s">
        <v>20</v>
      </c>
      <c r="C8" s="35" t="s">
        <v>21</v>
      </c>
      <c r="D8" s="35" t="s">
        <v>22</v>
      </c>
      <c r="E8" s="35" t="s">
        <v>26</v>
      </c>
      <c r="F8" s="37" t="n">
        <v>46300</v>
      </c>
      <c r="G8" s="38" t="s">
        <v>743</v>
      </c>
    </row>
    <row r="9" customFormat="false" ht="15.75" hidden="false" customHeight="false" outlineLevel="0" collapsed="false">
      <c r="A9" s="24" t="s">
        <v>745</v>
      </c>
      <c r="B9" s="31" t="s">
        <v>746</v>
      </c>
      <c r="C9" s="35" t="s">
        <v>25</v>
      </c>
      <c r="D9" s="35" t="s">
        <v>22</v>
      </c>
      <c r="E9" s="35" t="s">
        <v>34</v>
      </c>
      <c r="F9" s="36" t="n">
        <v>46300</v>
      </c>
      <c r="G9" s="39"/>
    </row>
    <row r="10" customFormat="false" ht="15.75" hidden="false" customHeight="false" outlineLevel="0" collapsed="false">
      <c r="A10" s="24" t="s">
        <v>747</v>
      </c>
      <c r="B10" s="31" t="s">
        <v>748</v>
      </c>
      <c r="C10" s="35" t="s">
        <v>564</v>
      </c>
      <c r="D10" s="35" t="s">
        <v>22</v>
      </c>
      <c r="E10" s="35" t="s">
        <v>34</v>
      </c>
      <c r="F10" s="37" t="n">
        <v>46300</v>
      </c>
      <c r="G10" s="40"/>
    </row>
    <row r="11" customFormat="false" ht="15.75" hidden="false" customHeight="false" outlineLevel="0" collapsed="false">
      <c r="A11" s="24" t="s">
        <v>749</v>
      </c>
      <c r="B11" s="31" t="s">
        <v>20</v>
      </c>
      <c r="C11" s="35" t="s">
        <v>25</v>
      </c>
      <c r="D11" s="35" t="s">
        <v>22</v>
      </c>
      <c r="E11" s="35" t="s">
        <v>34</v>
      </c>
      <c r="F11" s="37" t="n">
        <v>46300</v>
      </c>
      <c r="G11" s="39"/>
    </row>
    <row r="12" customFormat="false" ht="15.75" hidden="false" customHeight="false" outlineLevel="0" collapsed="false">
      <c r="A12" s="25" t="s">
        <v>750</v>
      </c>
      <c r="B12" s="31" t="s">
        <v>282</v>
      </c>
      <c r="C12" s="40" t="s">
        <v>664</v>
      </c>
      <c r="D12" s="35" t="s">
        <v>22</v>
      </c>
      <c r="E12" s="35" t="s">
        <v>26</v>
      </c>
      <c r="F12" s="37" t="n">
        <v>46300</v>
      </c>
      <c r="G12" s="39" t="s">
        <v>655</v>
      </c>
    </row>
    <row r="13" customFormat="false" ht="15.75" hidden="false" customHeight="false" outlineLevel="0" collapsed="false">
      <c r="A13" s="24" t="s">
        <v>751</v>
      </c>
      <c r="B13" s="31" t="s">
        <v>20</v>
      </c>
      <c r="C13" s="35" t="s">
        <v>25</v>
      </c>
      <c r="D13" s="35" t="s">
        <v>22</v>
      </c>
      <c r="E13" s="35" t="s">
        <v>26</v>
      </c>
      <c r="F13" s="37" t="n">
        <v>46300</v>
      </c>
      <c r="G13" s="38" t="s">
        <v>752</v>
      </c>
    </row>
    <row r="15" customFormat="false" ht="15.75" hidden="false" customHeight="false" outlineLevel="0" collapsed="false">
      <c r="A15" s="24" t="s">
        <v>753</v>
      </c>
      <c r="B15" s="31" t="s">
        <v>20</v>
      </c>
      <c r="C15" s="35" t="s">
        <v>21</v>
      </c>
      <c r="D15" s="35" t="s">
        <v>22</v>
      </c>
      <c r="E15" s="35" t="s">
        <v>26</v>
      </c>
      <c r="F15" s="36" t="n">
        <v>46301</v>
      </c>
      <c r="G15" s="39"/>
    </row>
    <row r="16" customFormat="false" ht="15.75" hidden="false" customHeight="false" outlineLevel="0" collapsed="false">
      <c r="A16" s="24" t="s">
        <v>754</v>
      </c>
      <c r="B16" s="31" t="s">
        <v>20</v>
      </c>
      <c r="C16" s="35" t="s">
        <v>25</v>
      </c>
      <c r="D16" s="35" t="s">
        <v>22</v>
      </c>
      <c r="E16" s="35" t="s">
        <v>26</v>
      </c>
      <c r="F16" s="37" t="n">
        <v>46301</v>
      </c>
      <c r="G16" s="31" t="s">
        <v>27</v>
      </c>
    </row>
    <row r="17" customFormat="false" ht="15.75" hidden="false" customHeight="false" outlineLevel="0" collapsed="false">
      <c r="A17" s="24" t="s">
        <v>755</v>
      </c>
      <c r="B17" s="31" t="s">
        <v>20</v>
      </c>
      <c r="C17" s="35" t="s">
        <v>25</v>
      </c>
      <c r="D17" s="35" t="s">
        <v>22</v>
      </c>
      <c r="E17" s="35" t="s">
        <v>34</v>
      </c>
      <c r="F17" s="37" t="n">
        <v>46301</v>
      </c>
      <c r="G17" s="38" t="s">
        <v>27</v>
      </c>
    </row>
    <row r="18" customFormat="false" ht="15.75" hidden="false" customHeight="false" outlineLevel="0" collapsed="false">
      <c r="A18" s="24" t="s">
        <v>756</v>
      </c>
      <c r="B18" s="31" t="s">
        <v>235</v>
      </c>
      <c r="C18" s="35" t="s">
        <v>21</v>
      </c>
      <c r="D18" s="35" t="s">
        <v>22</v>
      </c>
      <c r="E18" s="35" t="s">
        <v>34</v>
      </c>
      <c r="F18" s="37" t="n">
        <v>46301</v>
      </c>
      <c r="G18" s="38" t="s">
        <v>174</v>
      </c>
    </row>
    <row r="19" customFormat="false" ht="15.75" hidden="false" customHeight="false" outlineLevel="0" collapsed="false">
      <c r="A19" s="24" t="s">
        <v>757</v>
      </c>
      <c r="B19" s="31" t="s">
        <v>640</v>
      </c>
      <c r="C19" s="35" t="s">
        <v>21</v>
      </c>
      <c r="D19" s="35" t="s">
        <v>22</v>
      </c>
      <c r="E19" s="35" t="s">
        <v>34</v>
      </c>
      <c r="F19" s="37" t="n">
        <v>46301</v>
      </c>
      <c r="G19" s="38" t="s">
        <v>758</v>
      </c>
    </row>
    <row r="20" customFormat="false" ht="15.75" hidden="false" customHeight="false" outlineLevel="0" collapsed="false">
      <c r="A20" s="24" t="s">
        <v>759</v>
      </c>
      <c r="B20" s="31" t="s">
        <v>640</v>
      </c>
      <c r="C20" s="35" t="s">
        <v>21</v>
      </c>
      <c r="D20" s="35" t="s">
        <v>22</v>
      </c>
      <c r="E20" s="35" t="s">
        <v>34</v>
      </c>
      <c r="F20" s="37" t="n">
        <v>46301</v>
      </c>
      <c r="G20" s="38" t="s">
        <v>758</v>
      </c>
    </row>
    <row r="21" customFormat="false" ht="15.75" hidden="false" customHeight="false" outlineLevel="0" collapsed="false">
      <c r="A21" s="22" t="s">
        <v>760</v>
      </c>
      <c r="B21" s="31" t="s">
        <v>202</v>
      </c>
      <c r="C21" s="35" t="s">
        <v>25</v>
      </c>
      <c r="D21" s="35" t="s">
        <v>22</v>
      </c>
      <c r="E21" s="35" t="s">
        <v>26</v>
      </c>
      <c r="F21" s="37" t="n">
        <v>46301</v>
      </c>
      <c r="G21" s="38" t="s">
        <v>761</v>
      </c>
    </row>
    <row r="22" customFormat="false" ht="15.75" hidden="false" customHeight="false" outlineLevel="0" collapsed="false">
      <c r="A22" s="24" t="s">
        <v>762</v>
      </c>
      <c r="B22" s="31" t="s">
        <v>763</v>
      </c>
      <c r="C22" s="35" t="s">
        <v>25</v>
      </c>
      <c r="D22" s="35" t="s">
        <v>22</v>
      </c>
      <c r="E22" s="35" t="s">
        <v>26</v>
      </c>
      <c r="F22" s="37" t="n">
        <v>46301</v>
      </c>
      <c r="G22" s="40"/>
    </row>
    <row r="23" customFormat="false" ht="15.75" hidden="false" customHeight="false" outlineLevel="0" collapsed="false">
      <c r="A23" s="24" t="s">
        <v>764</v>
      </c>
      <c r="B23" s="31" t="s">
        <v>282</v>
      </c>
      <c r="C23" s="35" t="s">
        <v>25</v>
      </c>
      <c r="D23" s="35" t="s">
        <v>22</v>
      </c>
      <c r="E23" s="35" t="s">
        <v>26</v>
      </c>
      <c r="F23" s="36" t="n">
        <v>46301</v>
      </c>
      <c r="G23" s="38" t="s">
        <v>765</v>
      </c>
    </row>
    <row r="24" customFormat="false" ht="15.75" hidden="false" customHeight="false" outlineLevel="0" collapsed="false">
      <c r="A24" s="24" t="s">
        <v>766</v>
      </c>
      <c r="B24" s="31" t="s">
        <v>117</v>
      </c>
      <c r="C24" s="35" t="s">
        <v>25</v>
      </c>
      <c r="D24" s="35" t="s">
        <v>22</v>
      </c>
      <c r="E24" s="35" t="s">
        <v>29</v>
      </c>
      <c r="F24" s="37" t="n">
        <v>46301</v>
      </c>
      <c r="G24" s="31" t="s">
        <v>767</v>
      </c>
    </row>
    <row r="25" customFormat="false" ht="15.75" hidden="false" customHeight="false" outlineLevel="0" collapsed="false">
      <c r="A25" s="24" t="s">
        <v>768</v>
      </c>
      <c r="B25" s="31" t="s">
        <v>769</v>
      </c>
      <c r="C25" s="35" t="s">
        <v>25</v>
      </c>
      <c r="D25" s="35" t="s">
        <v>22</v>
      </c>
      <c r="E25" s="35" t="s">
        <v>29</v>
      </c>
      <c r="F25" s="37" t="n">
        <v>46301</v>
      </c>
      <c r="G25" s="38" t="s">
        <v>770</v>
      </c>
    </row>
    <row r="27" customFormat="false" ht="15.75" hidden="false" customHeight="false" outlineLevel="0" collapsed="false">
      <c r="A27" s="24" t="s">
        <v>771</v>
      </c>
      <c r="B27" s="31" t="s">
        <v>20</v>
      </c>
      <c r="C27" s="35" t="s">
        <v>25</v>
      </c>
      <c r="D27" s="35" t="s">
        <v>22</v>
      </c>
      <c r="E27" s="35" t="s">
        <v>34</v>
      </c>
      <c r="F27" s="36" t="n">
        <v>46302</v>
      </c>
      <c r="G27" s="38" t="s">
        <v>27</v>
      </c>
    </row>
    <row r="28" customFormat="false" ht="15.75" hidden="false" customHeight="false" outlineLevel="0" collapsed="false">
      <c r="A28" s="24" t="s">
        <v>772</v>
      </c>
      <c r="B28" s="31" t="s">
        <v>20</v>
      </c>
      <c r="C28" s="35" t="s">
        <v>21</v>
      </c>
      <c r="D28" s="35" t="s">
        <v>22</v>
      </c>
      <c r="E28" s="35" t="s">
        <v>23</v>
      </c>
      <c r="F28" s="37" t="n">
        <v>46302</v>
      </c>
      <c r="G28" s="39"/>
    </row>
    <row r="29" customFormat="false" ht="15.75" hidden="false" customHeight="false" outlineLevel="0" collapsed="false">
      <c r="A29" s="24" t="s">
        <v>773</v>
      </c>
      <c r="B29" s="31" t="s">
        <v>20</v>
      </c>
      <c r="C29" s="35" t="s">
        <v>21</v>
      </c>
      <c r="D29" s="35" t="s">
        <v>22</v>
      </c>
      <c r="E29" s="35" t="s">
        <v>23</v>
      </c>
      <c r="F29" s="37" t="n">
        <v>46302</v>
      </c>
      <c r="G29" s="39"/>
    </row>
    <row r="30" customFormat="false" ht="15.75" hidden="false" customHeight="false" outlineLevel="0" collapsed="false">
      <c r="A30" s="24" t="s">
        <v>774</v>
      </c>
      <c r="B30" s="31" t="s">
        <v>20</v>
      </c>
      <c r="C30" s="35" t="s">
        <v>21</v>
      </c>
      <c r="D30" s="35" t="s">
        <v>22</v>
      </c>
      <c r="E30" s="35" t="s">
        <v>23</v>
      </c>
      <c r="F30" s="37" t="n">
        <v>46302</v>
      </c>
      <c r="G30" s="39"/>
    </row>
    <row r="31" customFormat="false" ht="15.75" hidden="false" customHeight="false" outlineLevel="0" collapsed="false">
      <c r="A31" s="24" t="s">
        <v>775</v>
      </c>
      <c r="B31" s="31" t="s">
        <v>20</v>
      </c>
      <c r="C31" s="35" t="s">
        <v>21</v>
      </c>
      <c r="D31" s="35" t="s">
        <v>22</v>
      </c>
      <c r="E31" s="35" t="s">
        <v>26</v>
      </c>
      <c r="F31" s="37" t="n">
        <v>46302</v>
      </c>
      <c r="G31" s="39"/>
    </row>
    <row r="32" customFormat="false" ht="15.75" hidden="false" customHeight="false" outlineLevel="0" collapsed="false">
      <c r="A32" s="24" t="s">
        <v>776</v>
      </c>
      <c r="B32" s="31" t="s">
        <v>20</v>
      </c>
      <c r="C32" s="35" t="s">
        <v>21</v>
      </c>
      <c r="D32" s="35" t="s">
        <v>22</v>
      </c>
      <c r="E32" s="35" t="s">
        <v>23</v>
      </c>
      <c r="F32" s="37" t="n">
        <v>46302</v>
      </c>
      <c r="G32" s="39"/>
    </row>
    <row r="33" customFormat="false" ht="15.75" hidden="false" customHeight="false" outlineLevel="0" collapsed="false">
      <c r="A33" s="24" t="s">
        <v>777</v>
      </c>
      <c r="B33" s="31" t="s">
        <v>20</v>
      </c>
      <c r="C33" s="35" t="s">
        <v>21</v>
      </c>
      <c r="D33" s="35" t="s">
        <v>22</v>
      </c>
      <c r="E33" s="35" t="s">
        <v>26</v>
      </c>
      <c r="F33" s="37" t="n">
        <v>46302</v>
      </c>
      <c r="G33" s="39"/>
    </row>
    <row r="34" customFormat="false" ht="15.75" hidden="false" customHeight="false" outlineLevel="0" collapsed="false">
      <c r="A34" s="24" t="s">
        <v>778</v>
      </c>
      <c r="B34" s="31" t="s">
        <v>20</v>
      </c>
      <c r="C34" s="35" t="s">
        <v>21</v>
      </c>
      <c r="D34" s="35" t="s">
        <v>22</v>
      </c>
      <c r="E34" s="35" t="s">
        <v>26</v>
      </c>
      <c r="F34" s="37" t="n">
        <v>46302</v>
      </c>
      <c r="G34" s="38" t="s">
        <v>779</v>
      </c>
    </row>
    <row r="35" customFormat="false" ht="15.75" hidden="false" customHeight="false" outlineLevel="0" collapsed="false">
      <c r="A35" s="24" t="s">
        <v>780</v>
      </c>
      <c r="B35" s="31" t="s">
        <v>282</v>
      </c>
      <c r="C35" s="35" t="s">
        <v>21</v>
      </c>
      <c r="D35" s="35" t="s">
        <v>22</v>
      </c>
      <c r="E35" s="35" t="s">
        <v>26</v>
      </c>
      <c r="F35" s="37" t="n">
        <v>46302</v>
      </c>
      <c r="G35" s="38" t="s">
        <v>781</v>
      </c>
    </row>
    <row r="37" customFormat="false" ht="15.75" hidden="false" customHeight="false" outlineLevel="0" collapsed="false">
      <c r="A37" s="24" t="s">
        <v>782</v>
      </c>
      <c r="B37" s="31" t="s">
        <v>20</v>
      </c>
      <c r="C37" s="35" t="s">
        <v>25</v>
      </c>
      <c r="D37" s="35" t="s">
        <v>22</v>
      </c>
      <c r="E37" s="35" t="s">
        <v>34</v>
      </c>
      <c r="F37" s="37" t="n">
        <v>46303</v>
      </c>
      <c r="G37" s="31" t="s">
        <v>136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7.25"/>
    <col collapsed="false" customWidth="true" hidden="false" outlineLevel="0" max="5" min="5" style="0" width="7.75"/>
    <col collapsed="false" customWidth="true" hidden="false" outlineLevel="0" max="7" min="7" style="0" width="60.75"/>
    <col collapsed="false" customWidth="true" hidden="false" outlineLevel="0" max="8" min="8" style="0" width="16.12"/>
  </cols>
  <sheetData>
    <row r="1" customFormat="false" ht="15.75" hidden="false" customHeight="false" outlineLevel="0" collapsed="false">
      <c r="A1" s="59" t="s">
        <v>783</v>
      </c>
      <c r="B1" s="59" t="s">
        <v>784</v>
      </c>
      <c r="C1" s="59" t="s">
        <v>785</v>
      </c>
      <c r="D1" s="59" t="s">
        <v>786</v>
      </c>
      <c r="E1" s="59" t="s">
        <v>787</v>
      </c>
      <c r="F1" s="59" t="s">
        <v>788</v>
      </c>
      <c r="G1" s="60" t="s">
        <v>789</v>
      </c>
      <c r="H1" s="61" t="s">
        <v>790</v>
      </c>
      <c r="I1" s="61" t="s">
        <v>791</v>
      </c>
      <c r="J1" s="60" t="s">
        <v>792</v>
      </c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customFormat="false" ht="15.75" hidden="false" customHeight="false" outlineLevel="0" collapsed="false"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customFormat="false" ht="15.75" hidden="false" customHeight="false" outlineLevel="0" collapsed="false"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customFormat="false" ht="15.75" hidden="false" customHeight="false" outlineLevel="0" collapsed="false">
      <c r="A4" s="22" t="s">
        <v>793</v>
      </c>
      <c r="B4" s="35" t="s">
        <v>794</v>
      </c>
      <c r="C4" s="35" t="s">
        <v>21</v>
      </c>
      <c r="D4" s="35" t="s">
        <v>22</v>
      </c>
      <c r="E4" s="35" t="s">
        <v>26</v>
      </c>
      <c r="F4" s="37" t="n">
        <v>46300</v>
      </c>
      <c r="G4" s="52" t="s">
        <v>795</v>
      </c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customFormat="false" ht="15.75" hidden="false" customHeight="false" outlineLevel="0" collapsed="false">
      <c r="A5" s="22" t="s">
        <v>796</v>
      </c>
      <c r="B5" s="35" t="s">
        <v>797</v>
      </c>
      <c r="C5" s="35" t="s">
        <v>21</v>
      </c>
      <c r="D5" s="35" t="s">
        <v>22</v>
      </c>
      <c r="E5" s="35" t="s">
        <v>26</v>
      </c>
      <c r="F5" s="37" t="n">
        <v>46300</v>
      </c>
      <c r="G5" s="35" t="s">
        <v>798</v>
      </c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customFormat="false" ht="15.75" hidden="false" customHeight="false" outlineLevel="0" collapsed="false">
      <c r="A6" s="63" t="s">
        <v>799</v>
      </c>
      <c r="B6" s="64" t="s">
        <v>407</v>
      </c>
      <c r="C6" s="34" t="s">
        <v>25</v>
      </c>
      <c r="D6" s="34" t="s">
        <v>22</v>
      </c>
      <c r="E6" s="34" t="s">
        <v>26</v>
      </c>
      <c r="F6" s="37" t="n">
        <v>46300</v>
      </c>
      <c r="G6" s="34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customFormat="false" ht="15.75" hidden="false" customHeight="false" outlineLevel="0" collapsed="false">
      <c r="A7" s="63" t="s">
        <v>800</v>
      </c>
      <c r="B7" s="65"/>
      <c r="C7" s="66" t="s">
        <v>21</v>
      </c>
      <c r="D7" s="66" t="s">
        <v>22</v>
      </c>
      <c r="E7" s="63" t="s">
        <v>26</v>
      </c>
      <c r="F7" s="37" t="n">
        <v>46310</v>
      </c>
      <c r="G7" s="63" t="s">
        <v>801</v>
      </c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customFormat="false" ht="15.75" hidden="false" customHeight="false" outlineLevel="0" collapsed="false">
      <c r="A8" s="34" t="s">
        <v>802</v>
      </c>
      <c r="B8" s="64" t="s">
        <v>457</v>
      </c>
      <c r="C8" s="34" t="s">
        <v>25</v>
      </c>
      <c r="D8" s="34" t="s">
        <v>22</v>
      </c>
      <c r="E8" s="34" t="s">
        <v>34</v>
      </c>
      <c r="F8" s="37" t="n">
        <v>46310</v>
      </c>
      <c r="G8" s="34" t="s">
        <v>64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customFormat="false" ht="15.75" hidden="false" customHeight="false" outlineLevel="0" collapsed="false">
      <c r="F9" s="37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customFormat="false" ht="15.75" hidden="false" customHeight="false" outlineLevel="0" collapsed="false">
      <c r="A10" s="34" t="s">
        <v>803</v>
      </c>
      <c r="B10" s="67" t="s">
        <v>20</v>
      </c>
      <c r="C10" s="66" t="s">
        <v>21</v>
      </c>
      <c r="D10" s="66" t="s">
        <v>22</v>
      </c>
      <c r="E10" s="66" t="s">
        <v>26</v>
      </c>
      <c r="F10" s="37" t="n">
        <v>46333</v>
      </c>
      <c r="G10" s="68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customFormat="false" ht="15.75" hidden="false" customHeight="false" outlineLevel="0" collapsed="false">
      <c r="A11" s="69" t="s">
        <v>804</v>
      </c>
      <c r="B11" s="31" t="s">
        <v>528</v>
      </c>
      <c r="C11" s="35" t="s">
        <v>25</v>
      </c>
      <c r="D11" s="35" t="s">
        <v>22</v>
      </c>
      <c r="E11" s="35" t="s">
        <v>26</v>
      </c>
      <c r="F11" s="37" t="n">
        <v>46347</v>
      </c>
      <c r="G11" s="31" t="s">
        <v>805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customFormat="false" ht="15.75" hidden="false" customHeight="false" outlineLevel="0" collapsed="false">
      <c r="A12" s="69" t="s">
        <v>806</v>
      </c>
      <c r="B12" s="67" t="s">
        <v>20</v>
      </c>
      <c r="C12" s="66" t="s">
        <v>21</v>
      </c>
      <c r="D12" s="66" t="s">
        <v>22</v>
      </c>
      <c r="E12" s="67" t="s">
        <v>26</v>
      </c>
      <c r="F12" s="37" t="n">
        <v>46350</v>
      </c>
      <c r="G12" s="67" t="s">
        <v>807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customFormat="false" ht="15.75" hidden="false" customHeight="false" outlineLevel="0" collapsed="false">
      <c r="F13" s="37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customFormat="false" ht="15.75" hidden="false" customHeight="false" outlineLevel="0" collapsed="false">
      <c r="A14" s="24" t="s">
        <v>808</v>
      </c>
      <c r="B14" s="67" t="s">
        <v>20</v>
      </c>
      <c r="C14" s="66" t="s">
        <v>25</v>
      </c>
      <c r="D14" s="66" t="s">
        <v>22</v>
      </c>
      <c r="E14" s="66" t="s">
        <v>26</v>
      </c>
      <c r="F14" s="37" t="n">
        <v>46367</v>
      </c>
      <c r="G14" s="68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customFormat="false" ht="15.75" hidden="false" customHeight="false" outlineLevel="0" collapsed="false">
      <c r="F15" s="37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customFormat="false" ht="15.75" hidden="false" customHeight="false" outlineLevel="0" collapsed="false">
      <c r="A16" s="24" t="s">
        <v>809</v>
      </c>
      <c r="B16" s="51" t="s">
        <v>810</v>
      </c>
      <c r="C16" s="35" t="s">
        <v>25</v>
      </c>
      <c r="D16" s="35" t="s">
        <v>22</v>
      </c>
      <c r="E16" s="35" t="s">
        <v>26</v>
      </c>
      <c r="F16" s="37" t="n">
        <v>46419</v>
      </c>
      <c r="G16" s="67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customFormat="false" ht="15.75" hidden="false" customHeight="false" outlineLevel="0" collapsed="false">
      <c r="F17" s="37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customFormat="false" ht="15.75" hidden="false" customHeight="false" outlineLevel="0" collapsed="false">
      <c r="A18" s="66" t="s">
        <v>811</v>
      </c>
      <c r="B18" s="67" t="s">
        <v>20</v>
      </c>
      <c r="C18" s="66" t="s">
        <v>25</v>
      </c>
      <c r="D18" s="66" t="s">
        <v>22</v>
      </c>
      <c r="E18" s="66" t="s">
        <v>34</v>
      </c>
      <c r="F18" s="37" t="n">
        <v>46858</v>
      </c>
      <c r="G18" s="67" t="s">
        <v>812</v>
      </c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customFormat="false" ht="15.75" hidden="false" customHeight="false" outlineLevel="0" collapsed="false">
      <c r="F19" s="37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customFormat="false" ht="15.75" hidden="false" customHeight="false" outlineLevel="0" collapsed="false">
      <c r="A20" s="66" t="s">
        <v>813</v>
      </c>
      <c r="B20" s="67" t="s">
        <v>20</v>
      </c>
      <c r="C20" s="66" t="s">
        <v>25</v>
      </c>
      <c r="D20" s="66" t="s">
        <v>22</v>
      </c>
      <c r="E20" s="66" t="s">
        <v>23</v>
      </c>
      <c r="F20" s="37" t="n">
        <v>47751</v>
      </c>
      <c r="G20" s="70" t="s">
        <v>814</v>
      </c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customFormat="false" ht="15.75" hidden="false" customHeight="false" outlineLevel="0" collapsed="false">
      <c r="F21" s="37"/>
    </row>
    <row r="27" customFormat="false" ht="15.75" hidden="false" customHeight="false" outlineLevel="0" collapsed="false"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31" customFormat="false" ht="15.75" hidden="false" customHeight="false" outlineLevel="0" collapsed="false"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customFormat="false" ht="15.75" hidden="false" customHeight="false" outlineLevel="0" collapsed="false"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customFormat="false" ht="15.75" hidden="false" customHeight="false" outlineLevel="0" collapsed="false"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customFormat="false" ht="15.75" hidden="false" customHeight="false" outlineLevel="0" collapsed="false"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8" customFormat="false" ht="15.75" hidden="false" customHeight="false" outlineLevel="0" collapsed="false"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customFormat="false" ht="15.75" hidden="false" customHeight="false" outlineLevel="0" collapsed="false"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customFormat="false" ht="15.75" hidden="false" customHeight="false" outlineLevel="0" collapsed="false"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customFormat="false" ht="15.75" hidden="false" customHeight="false" outlineLevel="0" collapsed="false"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customFormat="false" ht="15.75" hidden="false" customHeight="false" outlineLevel="0" collapsed="false"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customFormat="false" ht="15.75" hidden="false" customHeight="false" outlineLevel="0" collapsed="false"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customFormat="false" ht="15.75" hidden="false" customHeight="false" outlineLevel="0" collapsed="false"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customFormat="false" ht="15.75" hidden="false" customHeight="false" outlineLevel="0" collapsed="false"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customFormat="false" ht="15.75" hidden="false" customHeight="false" outlineLevel="0" collapsed="false"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customFormat="false" ht="15.75" hidden="false" customHeight="false" outlineLevel="0" collapsed="false">
      <c r="A47" s="62"/>
      <c r="B47" s="62"/>
      <c r="C47" s="62"/>
      <c r="D47" s="62"/>
      <c r="E47" s="62"/>
      <c r="F47" s="71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customFormat="false" ht="15.75" hidden="false" customHeight="false" outlineLevel="0" collapsed="false">
      <c r="A48" s="72" t="s">
        <v>815</v>
      </c>
      <c r="B48" s="67" t="s">
        <v>20</v>
      </c>
      <c r="C48" s="66" t="s">
        <v>25</v>
      </c>
      <c r="D48" s="66" t="s">
        <v>22</v>
      </c>
      <c r="E48" s="66" t="s">
        <v>34</v>
      </c>
      <c r="F48" s="73" t="n">
        <v>45972</v>
      </c>
      <c r="G48" s="74" t="s">
        <v>816</v>
      </c>
      <c r="H48" s="66" t="s">
        <v>817</v>
      </c>
      <c r="I48" s="75" t="n">
        <v>45880</v>
      </c>
      <c r="J48" s="76" t="b">
        <f aca="false">TRUE()</f>
        <v>1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customFormat="false" ht="15.75" hidden="false" customHeight="false" outlineLevel="0" collapsed="false">
      <c r="A49" s="67" t="s">
        <v>818</v>
      </c>
      <c r="B49" s="67" t="s">
        <v>819</v>
      </c>
      <c r="C49" s="66" t="s">
        <v>21</v>
      </c>
      <c r="D49" s="67" t="s">
        <v>22</v>
      </c>
      <c r="E49" s="66" t="s">
        <v>26</v>
      </c>
      <c r="F49" s="73" t="n">
        <v>45980</v>
      </c>
      <c r="G49" s="66" t="s">
        <v>820</v>
      </c>
      <c r="H49" s="66" t="s">
        <v>817</v>
      </c>
      <c r="I49" s="75" t="n">
        <v>45888</v>
      </c>
      <c r="J49" s="76" t="b">
        <f aca="false">FALSE()</f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customFormat="false" ht="15.75" hidden="false" customHeight="false" outlineLevel="0" collapsed="false">
      <c r="A50" s="64" t="s">
        <v>821</v>
      </c>
      <c r="B50" s="66" t="s">
        <v>822</v>
      </c>
      <c r="C50" s="66" t="s">
        <v>25</v>
      </c>
      <c r="D50" s="66" t="s">
        <v>22</v>
      </c>
      <c r="E50" s="66" t="s">
        <v>26</v>
      </c>
      <c r="F50" s="73" t="n">
        <v>46073</v>
      </c>
      <c r="G50" s="66" t="s">
        <v>823</v>
      </c>
      <c r="H50" s="66" t="s">
        <v>817</v>
      </c>
      <c r="I50" s="77" t="n">
        <v>45889</v>
      </c>
      <c r="J50" s="76" t="b">
        <f aca="false">FALSE()</f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customFormat="false" ht="15.75" hidden="false" customHeight="false" outlineLevel="0" collapsed="false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customFormat="false" ht="15.75" hidden="false" customHeight="false" outlineLevel="0" collapsed="false">
      <c r="A52" s="63" t="s">
        <v>824</v>
      </c>
      <c r="B52" s="51" t="s">
        <v>825</v>
      </c>
      <c r="C52" s="66" t="s">
        <v>25</v>
      </c>
      <c r="D52" s="66" t="s">
        <v>22</v>
      </c>
      <c r="E52" s="66" t="s">
        <v>34</v>
      </c>
      <c r="F52" s="78" t="n">
        <v>46006</v>
      </c>
      <c r="G52" s="67" t="s">
        <v>188</v>
      </c>
      <c r="H52" s="66" t="s">
        <v>826</v>
      </c>
      <c r="I52" s="75" t="n">
        <v>45828</v>
      </c>
      <c r="J52" s="76" t="b">
        <f aca="false">FALSE()</f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customFormat="false" ht="15.75" hidden="false" customHeight="false" outlineLevel="0" collapsed="false">
      <c r="A53" s="63" t="s">
        <v>827</v>
      </c>
      <c r="B53" s="67" t="s">
        <v>20</v>
      </c>
      <c r="C53" s="66" t="s">
        <v>182</v>
      </c>
      <c r="D53" s="66" t="s">
        <v>22</v>
      </c>
      <c r="E53" s="66" t="s">
        <v>26</v>
      </c>
      <c r="F53" s="79" t="n">
        <v>46006</v>
      </c>
      <c r="G53" s="67" t="s">
        <v>828</v>
      </c>
      <c r="H53" s="66" t="s">
        <v>826</v>
      </c>
      <c r="I53" s="75" t="n">
        <v>45828</v>
      </c>
      <c r="J53" s="76" t="b">
        <f aca="false">FALSE()</f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customFormat="false" ht="15.75" hidden="false" customHeight="fals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customFormat="false" ht="15.75" hidden="false" customHeight="fals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customFormat="false" ht="15.75" hidden="false" customHeight="fals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customFormat="false" ht="15.75" hidden="false" customHeight="false" outlineLevel="0" collapsed="false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customFormat="false" ht="15.75" hidden="false" customHeight="false" outlineLevel="0" collapsed="false">
      <c r="A58" s="67" t="s">
        <v>470</v>
      </c>
      <c r="B58" s="67" t="s">
        <v>440</v>
      </c>
      <c r="C58" s="66" t="s">
        <v>25</v>
      </c>
      <c r="D58" s="66" t="s">
        <v>22</v>
      </c>
      <c r="E58" s="66" t="s">
        <v>34</v>
      </c>
      <c r="F58" s="80" t="n">
        <v>46042</v>
      </c>
      <c r="G58" s="66"/>
      <c r="H58" s="66" t="s">
        <v>829</v>
      </c>
      <c r="I58" s="75" t="n">
        <v>45371</v>
      </c>
      <c r="J58" s="76" t="b">
        <f aca="false">TRUE()</f>
        <v>1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customFormat="false" ht="15.75" hidden="false" customHeight="false" outlineLevel="0" collapsed="false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customFormat="false" ht="15.75" hidden="false" customHeight="false" outlineLevel="0" collapsed="false">
      <c r="A60" s="66" t="s">
        <v>830</v>
      </c>
      <c r="B60" s="66" t="s">
        <v>831</v>
      </c>
      <c r="C60" s="66" t="s">
        <v>832</v>
      </c>
      <c r="D60" s="66" t="s">
        <v>22</v>
      </c>
      <c r="E60" s="66" t="s">
        <v>34</v>
      </c>
      <c r="F60" s="80" t="n">
        <v>46084</v>
      </c>
      <c r="G60" s="66" t="s">
        <v>833</v>
      </c>
      <c r="H60" s="66" t="s">
        <v>834</v>
      </c>
      <c r="I60" s="80" t="n">
        <v>45747</v>
      </c>
      <c r="J60" s="81" t="b">
        <f aca="false">TRUE()</f>
        <v>1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customFormat="false" ht="15.75" hidden="false" customHeight="false" outlineLevel="0" collapsed="false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customFormat="false" ht="15.75" hidden="false" customHeight="false" outlineLevel="0" collapsed="false">
      <c r="A62" s="67" t="s">
        <v>835</v>
      </c>
      <c r="B62" s="67" t="s">
        <v>20</v>
      </c>
      <c r="C62" s="67" t="s">
        <v>21</v>
      </c>
      <c r="D62" s="67" t="s">
        <v>22</v>
      </c>
      <c r="E62" s="66" t="s">
        <v>34</v>
      </c>
      <c r="F62" s="80" t="n">
        <v>45945</v>
      </c>
      <c r="G62" s="67" t="s">
        <v>174</v>
      </c>
      <c r="H62" s="66" t="s">
        <v>836</v>
      </c>
      <c r="I62" s="75" t="n">
        <v>45779</v>
      </c>
      <c r="J62" s="82" t="b">
        <f aca="false">FALSE()</f>
        <v>0</v>
      </c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customFormat="false" ht="15.75" hidden="false" customHeight="false" outlineLevel="0" collapsed="false">
      <c r="A63" s="67" t="s">
        <v>837</v>
      </c>
      <c r="B63" s="67" t="s">
        <v>838</v>
      </c>
      <c r="C63" s="67" t="s">
        <v>21</v>
      </c>
      <c r="D63" s="67" t="s">
        <v>22</v>
      </c>
      <c r="E63" s="66" t="s">
        <v>34</v>
      </c>
      <c r="F63" s="80" t="n">
        <v>45945</v>
      </c>
      <c r="G63" s="67"/>
      <c r="H63" s="66" t="s">
        <v>836</v>
      </c>
      <c r="I63" s="75" t="n">
        <v>45779</v>
      </c>
      <c r="J63" s="76" t="b">
        <f aca="false">TRUE()</f>
        <v>1</v>
      </c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customFormat="false" ht="15.75" hidden="false" customHeight="false" outlineLevel="0" collapsed="false"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customFormat="false" ht="15.75" hidden="false" customHeight="false" outlineLevel="0" collapsed="false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customFormat="false" ht="15.75" hidden="false" customHeight="false" outlineLevel="0" collapsed="false">
      <c r="A66" s="64" t="s">
        <v>839</v>
      </c>
      <c r="B66" s="67" t="s">
        <v>20</v>
      </c>
      <c r="C66" s="66" t="s">
        <v>21</v>
      </c>
      <c r="D66" s="66" t="s">
        <v>22</v>
      </c>
      <c r="E66" s="66" t="s">
        <v>26</v>
      </c>
      <c r="F66" s="80" t="n">
        <v>45961</v>
      </c>
      <c r="G66" s="67" t="s">
        <v>27</v>
      </c>
      <c r="H66" s="66" t="s">
        <v>840</v>
      </c>
      <c r="I66" s="80" t="n">
        <v>45777</v>
      </c>
      <c r="J66" s="76" t="b">
        <f aca="false">TRUE()</f>
        <v>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customFormat="false" ht="15.75" hidden="false" customHeight="false" outlineLevel="0" collapsed="false">
      <c r="A67" s="67" t="s">
        <v>841</v>
      </c>
      <c r="B67" s="67" t="s">
        <v>20</v>
      </c>
      <c r="C67" s="66" t="s">
        <v>21</v>
      </c>
      <c r="D67" s="66" t="s">
        <v>22</v>
      </c>
      <c r="E67" s="66" t="s">
        <v>26</v>
      </c>
      <c r="F67" s="80" t="n">
        <v>45961</v>
      </c>
      <c r="G67" s="67" t="s">
        <v>27</v>
      </c>
      <c r="H67" s="66" t="s">
        <v>840</v>
      </c>
      <c r="I67" s="80" t="n">
        <v>45777</v>
      </c>
      <c r="J67" s="76" t="b">
        <f aca="false">TRUE()</f>
        <v>1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customFormat="false" ht="15.75" hidden="false" customHeight="false" outlineLevel="0" collapsed="false">
      <c r="A68" s="64" t="s">
        <v>842</v>
      </c>
      <c r="B68" s="67" t="s">
        <v>20</v>
      </c>
      <c r="C68" s="66" t="s">
        <v>21</v>
      </c>
      <c r="D68" s="66" t="s">
        <v>22</v>
      </c>
      <c r="E68" s="66" t="s">
        <v>26</v>
      </c>
      <c r="F68" s="80" t="n">
        <v>45961</v>
      </c>
      <c r="G68" s="67" t="s">
        <v>27</v>
      </c>
      <c r="H68" s="66" t="s">
        <v>840</v>
      </c>
      <c r="I68" s="80" t="n">
        <v>45777</v>
      </c>
      <c r="J68" s="76" t="b">
        <f aca="false">TRUE()</f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customFormat="false" ht="15.75" hidden="false" customHeight="false" outlineLevel="0" collapsed="false">
      <c r="A69" s="64" t="s">
        <v>843</v>
      </c>
      <c r="B69" s="67" t="s">
        <v>20</v>
      </c>
      <c r="C69" s="66" t="s">
        <v>21</v>
      </c>
      <c r="D69" s="66" t="s">
        <v>22</v>
      </c>
      <c r="E69" s="66" t="s">
        <v>26</v>
      </c>
      <c r="F69" s="80" t="n">
        <v>45961</v>
      </c>
      <c r="G69" s="67" t="s">
        <v>27</v>
      </c>
      <c r="H69" s="66" t="s">
        <v>840</v>
      </c>
      <c r="I69" s="80" t="n">
        <v>45777</v>
      </c>
      <c r="J69" s="76" t="b">
        <f aca="false">TRUE()</f>
        <v>1</v>
      </c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customFormat="false" ht="15.75" hidden="false" customHeight="false" outlineLevel="0" collapsed="false">
      <c r="A70" s="66" t="s">
        <v>844</v>
      </c>
      <c r="B70" s="68" t="s">
        <v>20</v>
      </c>
      <c r="C70" s="66" t="s">
        <v>21</v>
      </c>
      <c r="D70" s="66" t="s">
        <v>22</v>
      </c>
      <c r="E70" s="67" t="s">
        <v>26</v>
      </c>
      <c r="F70" s="80" t="n">
        <v>45961</v>
      </c>
      <c r="G70" s="67" t="s">
        <v>27</v>
      </c>
      <c r="H70" s="66" t="s">
        <v>840</v>
      </c>
      <c r="I70" s="80" t="n">
        <v>45777</v>
      </c>
      <c r="J70" s="76" t="b">
        <f aca="false">TRUE()</f>
        <v>1</v>
      </c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customFormat="false" ht="15.75" hidden="false" customHeight="false" outlineLevel="0" collapsed="false">
      <c r="A71" s="67" t="s">
        <v>845</v>
      </c>
      <c r="B71" s="67" t="s">
        <v>846</v>
      </c>
      <c r="C71" s="66" t="s">
        <v>21</v>
      </c>
      <c r="D71" s="66" t="s">
        <v>22</v>
      </c>
      <c r="E71" s="66" t="s">
        <v>26</v>
      </c>
      <c r="F71" s="80" t="n">
        <v>45961</v>
      </c>
      <c r="G71" s="67" t="s">
        <v>27</v>
      </c>
      <c r="H71" s="66" t="s">
        <v>840</v>
      </c>
      <c r="I71" s="80" t="n">
        <v>45777</v>
      </c>
      <c r="J71" s="76" t="b">
        <f aca="false">TRUE()</f>
        <v>1</v>
      </c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customFormat="false" ht="15.75" hidden="false" customHeight="false" outlineLevel="0" collapsed="false">
      <c r="A72" s="64" t="s">
        <v>847</v>
      </c>
      <c r="B72" s="67" t="s">
        <v>20</v>
      </c>
      <c r="C72" s="66" t="s">
        <v>21</v>
      </c>
      <c r="D72" s="66" t="s">
        <v>22</v>
      </c>
      <c r="E72" s="66" t="s">
        <v>26</v>
      </c>
      <c r="F72" s="80" t="n">
        <v>45961</v>
      </c>
      <c r="G72" s="67" t="s">
        <v>27</v>
      </c>
      <c r="H72" s="66" t="s">
        <v>840</v>
      </c>
      <c r="I72" s="80" t="n">
        <v>45777</v>
      </c>
      <c r="J72" s="76" t="b">
        <f aca="false">TRUE()</f>
        <v>1</v>
      </c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customFormat="false" ht="15.75" hidden="false" customHeight="false" outlineLevel="0" collapsed="false">
      <c r="A73" s="64" t="s">
        <v>848</v>
      </c>
      <c r="B73" s="67" t="s">
        <v>20</v>
      </c>
      <c r="C73" s="66" t="s">
        <v>21</v>
      </c>
      <c r="D73" s="66" t="s">
        <v>22</v>
      </c>
      <c r="E73" s="66" t="s">
        <v>26</v>
      </c>
      <c r="F73" s="80" t="n">
        <v>45961</v>
      </c>
      <c r="G73" s="67" t="s">
        <v>27</v>
      </c>
      <c r="H73" s="66" t="s">
        <v>840</v>
      </c>
      <c r="I73" s="80" t="n">
        <v>45777</v>
      </c>
      <c r="J73" s="76" t="b">
        <f aca="false">TRUE()</f>
        <v>1</v>
      </c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customFormat="false" ht="15.75" hidden="false" customHeight="false" outlineLevel="0" collapsed="false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customFormat="false" ht="15.75" hidden="false" customHeight="false" outlineLevel="0" collapsed="false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customFormat="false" ht="15.75" hidden="false" customHeight="false" outlineLevel="0" collapsed="false">
      <c r="A76" s="34" t="s">
        <v>849</v>
      </c>
      <c r="B76" s="63" t="s">
        <v>244</v>
      </c>
      <c r="C76" s="66" t="s">
        <v>21</v>
      </c>
      <c r="D76" s="66" t="s">
        <v>22</v>
      </c>
      <c r="E76" s="66" t="s">
        <v>26</v>
      </c>
      <c r="F76" s="80" t="n">
        <v>45978</v>
      </c>
      <c r="G76" s="67" t="s">
        <v>850</v>
      </c>
      <c r="H76" s="66" t="s">
        <v>836</v>
      </c>
      <c r="I76" s="75" t="n">
        <v>45888</v>
      </c>
      <c r="J76" s="76" t="b">
        <f aca="false">TRUE()</f>
        <v>1</v>
      </c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customFormat="false" ht="15.75" hidden="false" customHeight="false" outlineLevel="0" collapsed="false">
      <c r="A77" s="83" t="s">
        <v>851</v>
      </c>
      <c r="B77" s="67" t="s">
        <v>20</v>
      </c>
      <c r="C77" s="66" t="s">
        <v>25</v>
      </c>
      <c r="D77" s="66" t="s">
        <v>22</v>
      </c>
      <c r="E77" s="66" t="s">
        <v>34</v>
      </c>
      <c r="F77" s="80" t="n">
        <v>45972</v>
      </c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customFormat="false" ht="15.75" hidden="false" customHeight="false" outlineLevel="0" collapsed="false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customFormat="false" ht="15.75" hidden="false" customHeight="false" outlineLevel="0" collapsed="false">
      <c r="A79" s="63" t="s">
        <v>852</v>
      </c>
      <c r="B79" s="67" t="s">
        <v>20</v>
      </c>
      <c r="C79" s="66" t="s">
        <v>21</v>
      </c>
      <c r="D79" s="66" t="s">
        <v>22</v>
      </c>
      <c r="E79" s="66" t="s">
        <v>34</v>
      </c>
      <c r="F79" s="80" t="n">
        <v>46006</v>
      </c>
      <c r="G79" s="67" t="s">
        <v>853</v>
      </c>
      <c r="H79" s="66" t="s">
        <v>836</v>
      </c>
      <c r="I79" s="75" t="n">
        <v>45833</v>
      </c>
      <c r="J79" s="84" t="b">
        <f aca="false">FALSE()</f>
        <v>0</v>
      </c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customFormat="false" ht="15.75" hidden="false" customHeight="false" outlineLevel="0" collapsed="false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customFormat="false" ht="15.75" hidden="false" customHeight="false" outlineLevel="0" collapsed="false">
      <c r="A81" s="67" t="s">
        <v>854</v>
      </c>
      <c r="C81" s="66" t="s">
        <v>25</v>
      </c>
      <c r="D81" s="66" t="s">
        <v>22</v>
      </c>
      <c r="E81" s="66" t="s">
        <v>34</v>
      </c>
      <c r="F81" s="75" t="n">
        <v>46031</v>
      </c>
      <c r="G81" s="51" t="s">
        <v>855</v>
      </c>
      <c r="H81" s="66" t="s">
        <v>836</v>
      </c>
      <c r="I81" s="75" t="n">
        <v>45792</v>
      </c>
      <c r="J81" s="76" t="b">
        <f aca="false">FALSE()</f>
        <v>0</v>
      </c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customFormat="false" ht="15.75" hidden="false" customHeight="false" outlineLevel="0" collapsed="false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customFormat="false" ht="15.75" hidden="false" customHeight="false" outlineLevel="0" collapsed="false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customFormat="false" ht="15.75" hidden="false" customHeight="false" outlineLevel="0" collapsed="false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customFormat="false" ht="15.75" hidden="false" customHeight="false" outlineLevel="0" collapsed="false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customFormat="false" ht="15.75" hidden="false" customHeight="false" outlineLevel="0" collapsed="false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customFormat="false" ht="15.75" hidden="false" customHeight="false" outlineLevel="0" collapsed="false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customFormat="false" ht="15.75" hidden="false" customHeight="false" outlineLevel="0" collapsed="false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customFormat="false" ht="15.75" hidden="false" customHeight="false" outlineLevel="0" collapsed="false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customFormat="false" ht="15.75" hidden="false" customHeight="false" outlineLevel="0" collapsed="false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customFormat="false" ht="15.75" hidden="false" customHeight="false" outlineLevel="0" collapsed="false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customFormat="false" ht="15.75" hidden="false" customHeight="false" outlineLevel="0" collapsed="false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customFormat="false" ht="15.75" hidden="false" customHeight="false" outlineLevel="0" collapsed="false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customFormat="false" ht="15.75" hidden="false" customHeight="false" outlineLevel="0" collapsed="false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customFormat="false" ht="15.75" hidden="false" customHeight="false" outlineLevel="0" collapsed="false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customFormat="false" ht="15.75" hidden="false" customHeight="false" outlineLevel="0" collapsed="false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customFormat="false" ht="15.75" hidden="false" customHeight="false" outlineLevel="0" collapsed="false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customFormat="false" ht="15.75" hidden="false" customHeight="false" outlineLevel="0" collapsed="false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customFormat="false" ht="15.75" hidden="false" customHeight="false" outlineLevel="0" collapsed="false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customFormat="false" ht="15.75" hidden="false" customHeight="false" outlineLevel="0" collapsed="false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customFormat="false" ht="15.75" hidden="false" customHeight="false" outlineLevel="0" collapsed="false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customFormat="false" ht="15.75" hidden="false" customHeight="false" outlineLevel="0" collapsed="false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customFormat="false" ht="15.75" hidden="false" customHeight="false" outlineLevel="0" collapsed="false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customFormat="false" ht="15.75" hidden="false" customHeight="false" outlineLevel="0" collapsed="false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customFormat="false" ht="15.75" hidden="false" customHeight="false" outlineLevel="0" collapsed="false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customFormat="false" ht="15.75" hidden="false" customHeight="false" outlineLevel="0" collapsed="false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customFormat="false" ht="15.75" hidden="false" customHeight="false" outlineLevel="0" collapsed="false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customFormat="false" ht="15.75" hidden="false" customHeight="false" outlineLevel="0" collapsed="false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customFormat="false" ht="15.75" hidden="false" customHeight="false" outlineLevel="0" collapsed="false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customFormat="false" ht="15.75" hidden="false" customHeight="false" outlineLevel="0" collapsed="false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customFormat="false" ht="15.75" hidden="false" customHeight="false" outlineLevel="0" collapsed="false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customFormat="false" ht="15.75" hidden="false" customHeight="false" outlineLevel="0" collapsed="false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customFormat="false" ht="15.75" hidden="false" customHeight="false" outlineLevel="0" collapsed="false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customFormat="false" ht="15.75" hidden="false" customHeight="false" outlineLevel="0" collapsed="false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customFormat="false" ht="15.75" hidden="false" customHeight="false" outlineLevel="0" collapsed="false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customFormat="false" ht="15.75" hidden="false" customHeight="false" outlineLevel="0" collapsed="false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customFormat="false" ht="15.75" hidden="false" customHeight="false" outlineLevel="0" collapsed="false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customFormat="false" ht="15.75" hidden="false" customHeight="false" outlineLevel="0" collapsed="false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customFormat="false" ht="15.75" hidden="false" customHeight="false" outlineLevel="0" collapsed="false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customFormat="false" ht="15.75" hidden="false" customHeight="false" outlineLevel="0" collapsed="false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customFormat="false" ht="15.75" hidden="false" customHeight="false" outlineLevel="0" collapsed="false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customFormat="false" ht="15.75" hidden="false" customHeight="false" outlineLevel="0" collapsed="false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customFormat="false" ht="15.75" hidden="false" customHeight="false" outlineLevel="0" collapsed="false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customFormat="false" ht="15.75" hidden="false" customHeight="false" outlineLevel="0" collapsed="false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customFormat="false" ht="15.75" hidden="false" customHeight="false" outlineLevel="0" collapsed="false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customFormat="false" ht="15.75" hidden="false" customHeight="false" outlineLevel="0" collapsed="false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customFormat="false" ht="15.75" hidden="false" customHeight="false" outlineLevel="0" collapsed="false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customFormat="false" ht="15.75" hidden="false" customHeight="false" outlineLevel="0" collapsed="false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customFormat="false" ht="15.75" hidden="false" customHeight="false" outlineLevel="0" collapsed="false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customFormat="false" ht="15.75" hidden="false" customHeight="false" outlineLevel="0" collapsed="false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customFormat="false" ht="15.75" hidden="false" customHeight="false" outlineLevel="0" collapsed="false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customFormat="false" ht="15.75" hidden="false" customHeight="false" outlineLevel="0" collapsed="false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customFormat="false" ht="15.75" hidden="false" customHeight="false" outlineLevel="0" collapsed="false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customFormat="false" ht="15.75" hidden="false" customHeight="false" outlineLevel="0" collapsed="false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customFormat="false" ht="15.75" hidden="false" customHeight="false" outlineLevel="0" collapsed="false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customFormat="false" ht="15.75" hidden="false" customHeight="false" outlineLevel="0" collapsed="false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customFormat="false" ht="15.75" hidden="false" customHeight="false" outlineLevel="0" collapsed="false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customFormat="false" ht="15.75" hidden="false" customHeight="false" outlineLevel="0" collapsed="false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customFormat="false" ht="15.75" hidden="false" customHeight="false" outlineLevel="0" collapsed="false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customFormat="false" ht="15.75" hidden="false" customHeight="false" outlineLevel="0" collapsed="false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customFormat="false" ht="15.75" hidden="false" customHeight="false" outlineLevel="0" collapsed="false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customFormat="false" ht="15.75" hidden="false" customHeight="false" outlineLevel="0" collapsed="false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customFormat="false" ht="15.75" hidden="false" customHeight="false" outlineLevel="0" collapsed="false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customFormat="false" ht="15.75" hidden="false" customHeight="false" outlineLevel="0" collapsed="false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customFormat="false" ht="15.75" hidden="false" customHeight="false" outlineLevel="0" collapsed="false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customFormat="false" ht="15.75" hidden="false" customHeight="false" outlineLevel="0" collapsed="false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customFormat="false" ht="15.75" hidden="false" customHeight="false" outlineLevel="0" collapsed="false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customFormat="false" ht="15.75" hidden="false" customHeight="false" outlineLevel="0" collapsed="false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customFormat="false" ht="15.75" hidden="false" customHeight="false" outlineLevel="0" collapsed="false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customFormat="false" ht="15.75" hidden="false" customHeight="false" outlineLevel="0" collapsed="false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customFormat="false" ht="15.75" hidden="false" customHeight="false" outlineLevel="0" collapsed="false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customFormat="false" ht="15.75" hidden="false" customHeight="false" outlineLevel="0" collapsed="false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customFormat="false" ht="15.75" hidden="false" customHeight="false" outlineLevel="0" collapsed="false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customFormat="false" ht="15.75" hidden="false" customHeight="false" outlineLevel="0" collapsed="false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customFormat="false" ht="15.75" hidden="false" customHeight="false" outlineLevel="0" collapsed="false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customFormat="false" ht="15.75" hidden="false" customHeight="false" outlineLevel="0" collapsed="false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customFormat="false" ht="15.75" hidden="false" customHeight="false" outlineLevel="0" collapsed="false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customFormat="false" ht="15.75" hidden="false" customHeight="false" outlineLevel="0" collapsed="false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customFormat="false" ht="15.75" hidden="false" customHeight="false" outlineLevel="0" collapsed="false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customFormat="false" ht="15.75" hidden="false" customHeight="false" outlineLevel="0" collapsed="false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customFormat="false" ht="15.75" hidden="false" customHeight="false" outlineLevel="0" collapsed="false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customFormat="false" ht="15.75" hidden="false" customHeight="false" outlineLevel="0" collapsed="false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customFormat="false" ht="15.75" hidden="false" customHeight="false" outlineLevel="0" collapsed="false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customFormat="false" ht="15.75" hidden="false" customHeight="false" outlineLevel="0" collapsed="false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customFormat="false" ht="15.75" hidden="false" customHeight="false" outlineLevel="0" collapsed="false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customFormat="false" ht="15.75" hidden="false" customHeight="false" outlineLevel="0" collapsed="false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customFormat="false" ht="15.75" hidden="false" customHeight="false" outlineLevel="0" collapsed="false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customFormat="false" ht="15.75" hidden="false" customHeight="false" outlineLevel="0" collapsed="false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customFormat="false" ht="15.75" hidden="false" customHeight="false" outlineLevel="0" collapsed="false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customFormat="false" ht="15.75" hidden="false" customHeight="false" outlineLevel="0" collapsed="false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customFormat="false" ht="15.75" hidden="false" customHeight="false" outlineLevel="0" collapsed="false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customFormat="false" ht="15.75" hidden="false" customHeight="false" outlineLevel="0" collapsed="false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customFormat="false" ht="15.75" hidden="false" customHeight="false" outlineLevel="0" collapsed="false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customFormat="false" ht="15.75" hidden="false" customHeight="false" outlineLevel="0" collapsed="false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customFormat="false" ht="15.75" hidden="false" customHeight="false" outlineLevel="0" collapsed="false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customFormat="false" ht="15.75" hidden="false" customHeight="false" outlineLevel="0" collapsed="false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customFormat="false" ht="15.75" hidden="false" customHeight="false" outlineLevel="0" collapsed="false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customFormat="false" ht="15.75" hidden="false" customHeight="false" outlineLevel="0" collapsed="false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customFormat="false" ht="15.75" hidden="false" customHeight="false" outlineLevel="0" collapsed="false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customFormat="false" ht="15.75" hidden="false" customHeight="false" outlineLevel="0" collapsed="false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customFormat="false" ht="15.75" hidden="false" customHeight="false" outlineLevel="0" collapsed="false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customFormat="false" ht="15.75" hidden="false" customHeight="false" outlineLevel="0" collapsed="false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customFormat="false" ht="15.75" hidden="false" customHeight="false" outlineLevel="0" collapsed="false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customFormat="false" ht="15.75" hidden="false" customHeight="false" outlineLevel="0" collapsed="false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customFormat="false" ht="15.75" hidden="false" customHeight="false" outlineLevel="0" collapsed="false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customFormat="false" ht="15.75" hidden="false" customHeight="false" outlineLevel="0" collapsed="false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customFormat="false" ht="15.75" hidden="false" customHeight="false" outlineLevel="0" collapsed="false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customFormat="false" ht="15.75" hidden="false" customHeight="false" outlineLevel="0" collapsed="false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customFormat="false" ht="15.75" hidden="false" customHeight="false" outlineLevel="0" collapsed="false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customFormat="false" ht="15.75" hidden="false" customHeight="false" outlineLevel="0" collapsed="false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customFormat="false" ht="15.75" hidden="false" customHeight="false" outlineLevel="0" collapsed="false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customFormat="false" ht="15.75" hidden="false" customHeight="false" outlineLevel="0" collapsed="false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customFormat="false" ht="15.75" hidden="false" customHeight="false" outlineLevel="0" collapsed="false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customFormat="false" ht="15.75" hidden="false" customHeight="false" outlineLevel="0" collapsed="false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customFormat="false" ht="15.75" hidden="false" customHeight="false" outlineLevel="0" collapsed="false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customFormat="false" ht="15.75" hidden="false" customHeight="false" outlineLevel="0" collapsed="false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customFormat="false" ht="15.75" hidden="false" customHeight="false" outlineLevel="0" collapsed="false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customFormat="false" ht="15.75" hidden="false" customHeight="false" outlineLevel="0" collapsed="false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customFormat="false" ht="15.75" hidden="false" customHeight="false" outlineLevel="0" collapsed="false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customFormat="false" ht="15.75" hidden="false" customHeight="false" outlineLevel="0" collapsed="false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customFormat="false" ht="15.75" hidden="false" customHeight="false" outlineLevel="0" collapsed="false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customFormat="false" ht="15.75" hidden="false" customHeight="false" outlineLevel="0" collapsed="false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customFormat="false" ht="15.75" hidden="false" customHeight="false" outlineLevel="0" collapsed="false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customFormat="false" ht="15.75" hidden="false" customHeight="false" outlineLevel="0" collapsed="false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customFormat="false" ht="15.75" hidden="false" customHeight="false" outlineLevel="0" collapsed="false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customFormat="false" ht="15.75" hidden="false" customHeight="false" outlineLevel="0" collapsed="false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customFormat="false" ht="15.75" hidden="false" customHeight="false" outlineLevel="0" collapsed="false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customFormat="false" ht="15.75" hidden="false" customHeight="false" outlineLevel="0" collapsed="false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customFormat="false" ht="15.75" hidden="false" customHeight="false" outlineLevel="0" collapsed="false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customFormat="false" ht="15.75" hidden="false" customHeight="false" outlineLevel="0" collapsed="false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customFormat="false" ht="15.75" hidden="false" customHeight="false" outlineLevel="0" collapsed="false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customFormat="false" ht="15.75" hidden="false" customHeight="false" outlineLevel="0" collapsed="false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customFormat="false" ht="15.75" hidden="false" customHeight="false" outlineLevel="0" collapsed="false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customFormat="false" ht="15.75" hidden="false" customHeight="false" outlineLevel="0" collapsed="false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customFormat="false" ht="15.75" hidden="false" customHeight="false" outlineLevel="0" collapsed="false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customFormat="false" ht="15.75" hidden="false" customHeight="false" outlineLevel="0" collapsed="false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customFormat="false" ht="15.75" hidden="false" customHeight="false" outlineLevel="0" collapsed="false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customFormat="false" ht="15.75" hidden="false" customHeight="false" outlineLevel="0" collapsed="false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customFormat="false" ht="15.75" hidden="false" customHeight="false" outlineLevel="0" collapsed="false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customFormat="false" ht="15.75" hidden="false" customHeight="false" outlineLevel="0" collapsed="false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customFormat="false" ht="15.75" hidden="false" customHeight="false" outlineLevel="0" collapsed="false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customFormat="false" ht="15.75" hidden="false" customHeight="false" outlineLevel="0" collapsed="false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customFormat="false" ht="15.75" hidden="false" customHeight="false" outlineLevel="0" collapsed="false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customFormat="false" ht="15.75" hidden="false" customHeight="false" outlineLevel="0" collapsed="false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customFormat="false" ht="15.75" hidden="false" customHeight="false" outlineLevel="0" collapsed="false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customFormat="false" ht="15.75" hidden="false" customHeight="false" outlineLevel="0" collapsed="false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customFormat="false" ht="15.75" hidden="false" customHeight="false" outlineLevel="0" collapsed="false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customFormat="false" ht="15.75" hidden="false" customHeight="false" outlineLevel="0" collapsed="false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customFormat="false" ht="15.75" hidden="false" customHeight="false" outlineLevel="0" collapsed="false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customFormat="false" ht="15.75" hidden="false" customHeight="false" outlineLevel="0" collapsed="false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customFormat="false" ht="15.75" hidden="false" customHeight="false" outlineLevel="0" collapsed="false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customFormat="false" ht="15.75" hidden="false" customHeight="false" outlineLevel="0" collapsed="false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customFormat="false" ht="15.75" hidden="false" customHeight="false" outlineLevel="0" collapsed="false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customFormat="false" ht="15.75" hidden="false" customHeight="false" outlineLevel="0" collapsed="false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customFormat="false" ht="15.75" hidden="false" customHeight="false" outlineLevel="0" collapsed="false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customFormat="false" ht="15.75" hidden="false" customHeight="false" outlineLevel="0" collapsed="false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customFormat="false" ht="15.75" hidden="false" customHeight="false" outlineLevel="0" collapsed="false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customFormat="false" ht="15.75" hidden="false" customHeight="false" outlineLevel="0" collapsed="false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customFormat="false" ht="15.75" hidden="false" customHeight="false" outlineLevel="0" collapsed="false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customFormat="false" ht="15.75" hidden="false" customHeight="false" outlineLevel="0" collapsed="false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customFormat="false" ht="15.75" hidden="false" customHeight="false" outlineLevel="0" collapsed="false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customFormat="false" ht="15.75" hidden="false" customHeight="false" outlineLevel="0" collapsed="false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customFormat="false" ht="15.75" hidden="false" customHeight="false" outlineLevel="0" collapsed="false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customFormat="false" ht="15.75" hidden="false" customHeight="false" outlineLevel="0" collapsed="false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customFormat="false" ht="15.75" hidden="false" customHeight="false" outlineLevel="0" collapsed="false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customFormat="false" ht="15.75" hidden="false" customHeight="false" outlineLevel="0" collapsed="false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customFormat="false" ht="15.75" hidden="false" customHeight="false" outlineLevel="0" collapsed="false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customFormat="false" ht="15.75" hidden="false" customHeight="false" outlineLevel="0" collapsed="false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customFormat="false" ht="15.75" hidden="false" customHeight="false" outlineLevel="0" collapsed="false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customFormat="false" ht="15.75" hidden="false" customHeight="false" outlineLevel="0" collapsed="false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customFormat="false" ht="15.75" hidden="false" customHeight="false" outlineLevel="0" collapsed="false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customFormat="false" ht="15.75" hidden="false" customHeight="false" outlineLevel="0" collapsed="false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customFormat="false" ht="15.75" hidden="false" customHeight="false" outlineLevel="0" collapsed="false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customFormat="false" ht="15.75" hidden="false" customHeight="false" outlineLevel="0" collapsed="false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customFormat="false" ht="15.75" hidden="false" customHeight="false" outlineLevel="0" collapsed="false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customFormat="false" ht="15.75" hidden="false" customHeight="false" outlineLevel="0" collapsed="false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customFormat="false" ht="15.75" hidden="false" customHeight="false" outlineLevel="0" collapsed="false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customFormat="false" ht="15.75" hidden="false" customHeight="false" outlineLevel="0" collapsed="false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customFormat="false" ht="15.75" hidden="false" customHeight="false" outlineLevel="0" collapsed="false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customFormat="false" ht="15.75" hidden="false" customHeight="false" outlineLevel="0" collapsed="false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customFormat="false" ht="15.75" hidden="false" customHeight="false" outlineLevel="0" collapsed="false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customFormat="false" ht="15.75" hidden="false" customHeight="false" outlineLevel="0" collapsed="false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customFormat="false" ht="15.75" hidden="false" customHeight="false" outlineLevel="0" collapsed="false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customFormat="false" ht="15.75" hidden="false" customHeight="false" outlineLevel="0" collapsed="false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customFormat="false" ht="15.75" hidden="false" customHeight="false" outlineLevel="0" collapsed="false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customFormat="false" ht="15.75" hidden="false" customHeight="false" outlineLevel="0" collapsed="false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customFormat="false" ht="15.75" hidden="false" customHeight="false" outlineLevel="0" collapsed="false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customFormat="false" ht="15.75" hidden="false" customHeight="false" outlineLevel="0" collapsed="false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customFormat="false" ht="15.75" hidden="false" customHeight="false" outlineLevel="0" collapsed="false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customFormat="false" ht="15.75" hidden="false" customHeight="false" outlineLevel="0" collapsed="false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customFormat="false" ht="15.75" hidden="false" customHeight="false" outlineLevel="0" collapsed="false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customFormat="false" ht="15.75" hidden="false" customHeight="false" outlineLevel="0" collapsed="false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customFormat="false" ht="15.75" hidden="false" customHeight="false" outlineLevel="0" collapsed="false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customFormat="false" ht="15.75" hidden="false" customHeight="false" outlineLevel="0" collapsed="false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customFormat="false" ht="15.75" hidden="false" customHeight="false" outlineLevel="0" collapsed="false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customFormat="false" ht="15.75" hidden="false" customHeight="false" outlineLevel="0" collapsed="false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customFormat="false" ht="15.75" hidden="false" customHeight="false" outlineLevel="0" collapsed="false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customFormat="false" ht="15.75" hidden="false" customHeight="false" outlineLevel="0" collapsed="false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customFormat="false" ht="15.75" hidden="false" customHeight="false" outlineLevel="0" collapsed="false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customFormat="false" ht="15.75" hidden="false" customHeight="false" outlineLevel="0" collapsed="false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customFormat="false" ht="15.75" hidden="false" customHeight="false" outlineLevel="0" collapsed="false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customFormat="false" ht="15.75" hidden="false" customHeight="false" outlineLevel="0" collapsed="false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customFormat="false" ht="15.75" hidden="false" customHeight="false" outlineLevel="0" collapsed="false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customFormat="false" ht="15.75" hidden="false" customHeight="false" outlineLevel="0" collapsed="false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customFormat="false" ht="15.75" hidden="false" customHeight="false" outlineLevel="0" collapsed="false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customFormat="false" ht="15.75" hidden="false" customHeight="false" outlineLevel="0" collapsed="false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customFormat="false" ht="15.75" hidden="false" customHeight="false" outlineLevel="0" collapsed="false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customFormat="false" ht="15.75" hidden="false" customHeight="false" outlineLevel="0" collapsed="false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customFormat="false" ht="15.75" hidden="false" customHeight="false" outlineLevel="0" collapsed="false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customFormat="false" ht="15.75" hidden="false" customHeight="false" outlineLevel="0" collapsed="false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customFormat="false" ht="15.75" hidden="false" customHeight="false" outlineLevel="0" collapsed="false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customFormat="false" ht="15.75" hidden="false" customHeight="false" outlineLevel="0" collapsed="false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customFormat="false" ht="15.75" hidden="false" customHeight="false" outlineLevel="0" collapsed="false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customFormat="false" ht="15.75" hidden="false" customHeight="false" outlineLevel="0" collapsed="false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customFormat="false" ht="15.75" hidden="false" customHeight="false" outlineLevel="0" collapsed="false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customFormat="false" ht="15.75" hidden="false" customHeight="false" outlineLevel="0" collapsed="false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customFormat="false" ht="15.75" hidden="false" customHeight="false" outlineLevel="0" collapsed="false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customFormat="false" ht="15.75" hidden="false" customHeight="false" outlineLevel="0" collapsed="false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customFormat="false" ht="15.75" hidden="false" customHeight="false" outlineLevel="0" collapsed="false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customFormat="false" ht="15.75" hidden="false" customHeight="false" outlineLevel="0" collapsed="false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customFormat="false" ht="15.75" hidden="false" customHeight="false" outlineLevel="0" collapsed="false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customFormat="false" ht="15.75" hidden="false" customHeight="false" outlineLevel="0" collapsed="false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customFormat="false" ht="15.75" hidden="false" customHeight="false" outlineLevel="0" collapsed="false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customFormat="false" ht="15.75" hidden="false" customHeight="false" outlineLevel="0" collapsed="false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customFormat="false" ht="15.75" hidden="false" customHeight="false" outlineLevel="0" collapsed="false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customFormat="false" ht="15.75" hidden="false" customHeight="false" outlineLevel="0" collapsed="false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customFormat="false" ht="15.75" hidden="false" customHeight="false" outlineLevel="0" collapsed="false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customFormat="false" ht="15.75" hidden="false" customHeight="false" outlineLevel="0" collapsed="false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customFormat="false" ht="15.75" hidden="false" customHeight="false" outlineLevel="0" collapsed="false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customFormat="false" ht="15.75" hidden="false" customHeight="false" outlineLevel="0" collapsed="false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customFormat="false" ht="15.75" hidden="false" customHeight="false" outlineLevel="0" collapsed="false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customFormat="false" ht="15.75" hidden="false" customHeight="false" outlineLevel="0" collapsed="false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customFormat="false" ht="15.75" hidden="false" customHeight="false" outlineLevel="0" collapsed="false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customFormat="false" ht="15.75" hidden="false" customHeight="false" outlineLevel="0" collapsed="false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customFormat="false" ht="15.75" hidden="false" customHeight="false" outlineLevel="0" collapsed="false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customFormat="false" ht="15.75" hidden="false" customHeight="false" outlineLevel="0" collapsed="false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customFormat="false" ht="15.75" hidden="false" customHeight="false" outlineLevel="0" collapsed="false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customFormat="false" ht="15.75" hidden="false" customHeight="false" outlineLevel="0" collapsed="false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customFormat="false" ht="15.75" hidden="false" customHeight="false" outlineLevel="0" collapsed="false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customFormat="false" ht="15.75" hidden="false" customHeight="false" outlineLevel="0" collapsed="false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customFormat="false" ht="15.75" hidden="false" customHeight="false" outlineLevel="0" collapsed="false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customFormat="false" ht="15.75" hidden="false" customHeight="false" outlineLevel="0" collapsed="false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customFormat="false" ht="15.75" hidden="false" customHeight="false" outlineLevel="0" collapsed="false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customFormat="false" ht="15.75" hidden="false" customHeight="false" outlineLevel="0" collapsed="false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customFormat="false" ht="15.75" hidden="false" customHeight="false" outlineLevel="0" collapsed="false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customFormat="false" ht="15.75" hidden="false" customHeight="false" outlineLevel="0" collapsed="false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customFormat="false" ht="15.75" hidden="false" customHeight="false" outlineLevel="0" collapsed="false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customFormat="false" ht="15.75" hidden="false" customHeight="false" outlineLevel="0" collapsed="false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customFormat="false" ht="15.75" hidden="false" customHeight="false" outlineLevel="0" collapsed="false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customFormat="false" ht="15.75" hidden="false" customHeight="false" outlineLevel="0" collapsed="false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customFormat="false" ht="15.75" hidden="false" customHeight="false" outlineLevel="0" collapsed="false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customFormat="false" ht="15.75" hidden="false" customHeight="false" outlineLevel="0" collapsed="false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customFormat="false" ht="15.75" hidden="false" customHeight="false" outlineLevel="0" collapsed="false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customFormat="false" ht="15.75" hidden="false" customHeight="false" outlineLevel="0" collapsed="false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customFormat="false" ht="15.75" hidden="false" customHeight="false" outlineLevel="0" collapsed="false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customFormat="false" ht="15.75" hidden="false" customHeight="false" outlineLevel="0" collapsed="false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customFormat="false" ht="15.75" hidden="false" customHeight="false" outlineLevel="0" collapsed="false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customFormat="false" ht="15.75" hidden="false" customHeight="false" outlineLevel="0" collapsed="false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customFormat="false" ht="15.75" hidden="false" customHeight="false" outlineLevel="0" collapsed="false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customFormat="false" ht="15.75" hidden="false" customHeight="false" outlineLevel="0" collapsed="false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customFormat="false" ht="15.75" hidden="false" customHeight="false" outlineLevel="0" collapsed="false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customFormat="false" ht="15.75" hidden="false" customHeight="false" outlineLevel="0" collapsed="false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customFormat="false" ht="15.75" hidden="false" customHeight="false" outlineLevel="0" collapsed="false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customFormat="false" ht="15.75" hidden="false" customHeight="false" outlineLevel="0" collapsed="false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customFormat="false" ht="15.75" hidden="false" customHeight="false" outlineLevel="0" collapsed="false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customFormat="false" ht="15.75" hidden="false" customHeight="false" outlineLevel="0" collapsed="false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customFormat="false" ht="15.75" hidden="false" customHeight="false" outlineLevel="0" collapsed="false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customFormat="false" ht="15.75" hidden="false" customHeight="false" outlineLevel="0" collapsed="false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customFormat="false" ht="15.75" hidden="false" customHeight="false" outlineLevel="0" collapsed="false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customFormat="false" ht="15.75" hidden="false" customHeight="false" outlineLevel="0" collapsed="false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customFormat="false" ht="15.75" hidden="false" customHeight="false" outlineLevel="0" collapsed="false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customFormat="false" ht="15.75" hidden="false" customHeight="false" outlineLevel="0" collapsed="false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customFormat="false" ht="15.75" hidden="false" customHeight="false" outlineLevel="0" collapsed="false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customFormat="false" ht="15.75" hidden="false" customHeight="false" outlineLevel="0" collapsed="false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customFormat="false" ht="15.75" hidden="false" customHeight="false" outlineLevel="0" collapsed="false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customFormat="false" ht="15.75" hidden="false" customHeight="false" outlineLevel="0" collapsed="false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customFormat="false" ht="15.75" hidden="false" customHeight="false" outlineLevel="0" collapsed="false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customFormat="false" ht="15.75" hidden="false" customHeight="false" outlineLevel="0" collapsed="false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customFormat="false" ht="15.75" hidden="false" customHeight="false" outlineLevel="0" collapsed="false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customFormat="false" ht="15.75" hidden="false" customHeight="false" outlineLevel="0" collapsed="false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customFormat="false" ht="15.75" hidden="false" customHeight="false" outlineLevel="0" collapsed="false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customFormat="false" ht="15.75" hidden="false" customHeight="false" outlineLevel="0" collapsed="false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customFormat="false" ht="15.75" hidden="false" customHeight="false" outlineLevel="0" collapsed="false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customFormat="false" ht="15.75" hidden="false" customHeight="false" outlineLevel="0" collapsed="false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customFormat="false" ht="15.75" hidden="false" customHeight="false" outlineLevel="0" collapsed="false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customFormat="false" ht="15.75" hidden="false" customHeight="false" outlineLevel="0" collapsed="false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customFormat="false" ht="15.75" hidden="false" customHeight="false" outlineLevel="0" collapsed="false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customFormat="false" ht="15.75" hidden="false" customHeight="false" outlineLevel="0" collapsed="false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customFormat="false" ht="15.75" hidden="false" customHeight="false" outlineLevel="0" collapsed="false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customFormat="false" ht="15.75" hidden="false" customHeight="false" outlineLevel="0" collapsed="false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customFormat="false" ht="15.75" hidden="false" customHeight="false" outlineLevel="0" collapsed="false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customFormat="false" ht="15.75" hidden="false" customHeight="false" outlineLevel="0" collapsed="false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customFormat="false" ht="15.75" hidden="false" customHeight="false" outlineLevel="0" collapsed="false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customFormat="false" ht="15.75" hidden="false" customHeight="false" outlineLevel="0" collapsed="false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customFormat="false" ht="15.75" hidden="false" customHeight="false" outlineLevel="0" collapsed="false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customFormat="false" ht="15.75" hidden="false" customHeight="false" outlineLevel="0" collapsed="false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customFormat="false" ht="15.75" hidden="false" customHeight="false" outlineLevel="0" collapsed="false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customFormat="false" ht="15.75" hidden="false" customHeight="false" outlineLevel="0" collapsed="false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customFormat="false" ht="15.75" hidden="false" customHeight="false" outlineLevel="0" collapsed="false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customFormat="false" ht="15.75" hidden="false" customHeight="false" outlineLevel="0" collapsed="false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customFormat="false" ht="15.75" hidden="false" customHeight="false" outlineLevel="0" collapsed="false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customFormat="false" ht="15.75" hidden="false" customHeight="false" outlineLevel="0" collapsed="false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customFormat="false" ht="15.75" hidden="false" customHeight="false" outlineLevel="0" collapsed="false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customFormat="false" ht="15.75" hidden="false" customHeight="false" outlineLevel="0" collapsed="false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customFormat="false" ht="15.75" hidden="false" customHeight="false" outlineLevel="0" collapsed="false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customFormat="false" ht="15.75" hidden="false" customHeight="false" outlineLevel="0" collapsed="false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customFormat="false" ht="15.75" hidden="false" customHeight="false" outlineLevel="0" collapsed="false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customFormat="false" ht="15.75" hidden="false" customHeight="false" outlineLevel="0" collapsed="false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customFormat="false" ht="15.75" hidden="false" customHeight="false" outlineLevel="0" collapsed="false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customFormat="false" ht="15.75" hidden="false" customHeight="false" outlineLevel="0" collapsed="false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customFormat="false" ht="15.75" hidden="false" customHeight="false" outlineLevel="0" collapsed="false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customFormat="false" ht="15.75" hidden="false" customHeight="false" outlineLevel="0" collapsed="false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customFormat="false" ht="15.75" hidden="false" customHeight="false" outlineLevel="0" collapsed="false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customFormat="false" ht="15.75" hidden="false" customHeight="false" outlineLevel="0" collapsed="false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customFormat="false" ht="15.75" hidden="false" customHeight="false" outlineLevel="0" collapsed="false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customFormat="false" ht="15.75" hidden="false" customHeight="false" outlineLevel="0" collapsed="false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customFormat="false" ht="15.75" hidden="false" customHeight="false" outlineLevel="0" collapsed="false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customFormat="false" ht="15.75" hidden="false" customHeight="false" outlineLevel="0" collapsed="false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customFormat="false" ht="15.75" hidden="false" customHeight="false" outlineLevel="0" collapsed="false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customFormat="false" ht="15.75" hidden="false" customHeight="false" outlineLevel="0" collapsed="false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customFormat="false" ht="15.75" hidden="false" customHeight="false" outlineLevel="0" collapsed="false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customFormat="false" ht="15.75" hidden="false" customHeight="false" outlineLevel="0" collapsed="false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customFormat="false" ht="15.75" hidden="false" customHeight="false" outlineLevel="0" collapsed="false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customFormat="false" ht="15.75" hidden="false" customHeight="false" outlineLevel="0" collapsed="false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customFormat="false" ht="15.75" hidden="false" customHeight="false" outlineLevel="0" collapsed="false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customFormat="false" ht="15.75" hidden="false" customHeight="false" outlineLevel="0" collapsed="false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customFormat="false" ht="15.75" hidden="false" customHeight="false" outlineLevel="0" collapsed="false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customFormat="false" ht="15.75" hidden="false" customHeight="false" outlineLevel="0" collapsed="false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customFormat="false" ht="15.75" hidden="false" customHeight="false" outlineLevel="0" collapsed="false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customFormat="false" ht="15.75" hidden="false" customHeight="false" outlineLevel="0" collapsed="false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customFormat="false" ht="15.75" hidden="false" customHeight="false" outlineLevel="0" collapsed="false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customFormat="false" ht="15.75" hidden="false" customHeight="false" outlineLevel="0" collapsed="false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customFormat="false" ht="15.75" hidden="false" customHeight="false" outlineLevel="0" collapsed="false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customFormat="false" ht="15.75" hidden="false" customHeight="false" outlineLevel="0" collapsed="false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customFormat="false" ht="15.75" hidden="false" customHeight="false" outlineLevel="0" collapsed="false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customFormat="false" ht="15.75" hidden="false" customHeight="false" outlineLevel="0" collapsed="false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customFormat="false" ht="15.75" hidden="false" customHeight="false" outlineLevel="0" collapsed="false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customFormat="false" ht="15.75" hidden="false" customHeight="false" outlineLevel="0" collapsed="false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customFormat="false" ht="15.75" hidden="false" customHeight="false" outlineLevel="0" collapsed="false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customFormat="false" ht="15.75" hidden="false" customHeight="false" outlineLevel="0" collapsed="false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customFormat="false" ht="15.75" hidden="false" customHeight="false" outlineLevel="0" collapsed="false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customFormat="false" ht="15.75" hidden="false" customHeight="false" outlineLevel="0" collapsed="false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customFormat="false" ht="15.75" hidden="false" customHeight="false" outlineLevel="0" collapsed="false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customFormat="false" ht="15.75" hidden="false" customHeight="false" outlineLevel="0" collapsed="false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customFormat="false" ht="15.75" hidden="false" customHeight="false" outlineLevel="0" collapsed="false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customFormat="false" ht="15.75" hidden="false" customHeight="false" outlineLevel="0" collapsed="false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customFormat="false" ht="15.75" hidden="false" customHeight="false" outlineLevel="0" collapsed="false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customFormat="false" ht="15.75" hidden="false" customHeight="false" outlineLevel="0" collapsed="false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customFormat="false" ht="15.75" hidden="false" customHeight="false" outlineLevel="0" collapsed="false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customFormat="false" ht="15.75" hidden="false" customHeight="false" outlineLevel="0" collapsed="false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customFormat="false" ht="15.75" hidden="false" customHeight="false" outlineLevel="0" collapsed="false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customFormat="false" ht="15.75" hidden="false" customHeight="false" outlineLevel="0" collapsed="false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customFormat="false" ht="15.75" hidden="false" customHeight="false" outlineLevel="0" collapsed="false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customFormat="false" ht="15.75" hidden="false" customHeight="false" outlineLevel="0" collapsed="false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customFormat="false" ht="15.75" hidden="false" customHeight="false" outlineLevel="0" collapsed="false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customFormat="false" ht="15.75" hidden="false" customHeight="false" outlineLevel="0" collapsed="false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customFormat="false" ht="15.75" hidden="false" customHeight="false" outlineLevel="0" collapsed="false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customFormat="false" ht="15.75" hidden="false" customHeight="false" outlineLevel="0" collapsed="false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customFormat="false" ht="15.75" hidden="false" customHeight="false" outlineLevel="0" collapsed="false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customFormat="false" ht="15.75" hidden="false" customHeight="false" outlineLevel="0" collapsed="false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customFormat="false" ht="15.75" hidden="false" customHeight="false" outlineLevel="0" collapsed="false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customFormat="false" ht="15.75" hidden="false" customHeight="false" outlineLevel="0" collapsed="false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customFormat="false" ht="15.75" hidden="false" customHeight="false" outlineLevel="0" collapsed="false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customFormat="false" ht="15.75" hidden="false" customHeight="false" outlineLevel="0" collapsed="false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customFormat="false" ht="15.75" hidden="false" customHeight="false" outlineLevel="0" collapsed="false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customFormat="false" ht="15.75" hidden="false" customHeight="false" outlineLevel="0" collapsed="false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customFormat="false" ht="15.75" hidden="false" customHeight="false" outlineLevel="0" collapsed="false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customFormat="false" ht="15.75" hidden="false" customHeight="false" outlineLevel="0" collapsed="false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customFormat="false" ht="15.75" hidden="false" customHeight="false" outlineLevel="0" collapsed="false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customFormat="false" ht="15.75" hidden="false" customHeight="false" outlineLevel="0" collapsed="false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customFormat="false" ht="15.75" hidden="false" customHeight="false" outlineLevel="0" collapsed="false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customFormat="false" ht="15.75" hidden="false" customHeight="false" outlineLevel="0" collapsed="false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customFormat="false" ht="15.75" hidden="false" customHeight="false" outlineLevel="0" collapsed="false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customFormat="false" ht="15.75" hidden="false" customHeight="false" outlineLevel="0" collapsed="false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customFormat="false" ht="15.75" hidden="false" customHeight="false" outlineLevel="0" collapsed="false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customFormat="false" ht="15.75" hidden="false" customHeight="false" outlineLevel="0" collapsed="false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customFormat="false" ht="15.75" hidden="false" customHeight="false" outlineLevel="0" collapsed="false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customFormat="false" ht="15.75" hidden="false" customHeight="false" outlineLevel="0" collapsed="false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customFormat="false" ht="15.75" hidden="false" customHeight="false" outlineLevel="0" collapsed="false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customFormat="false" ht="15.75" hidden="false" customHeight="false" outlineLevel="0" collapsed="false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customFormat="false" ht="15.75" hidden="false" customHeight="false" outlineLevel="0" collapsed="false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customFormat="false" ht="15.75" hidden="false" customHeight="false" outlineLevel="0" collapsed="false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customFormat="false" ht="15.75" hidden="false" customHeight="false" outlineLevel="0" collapsed="false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customFormat="false" ht="15.75" hidden="false" customHeight="false" outlineLevel="0" collapsed="false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customFormat="false" ht="15.75" hidden="false" customHeight="false" outlineLevel="0" collapsed="false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customFormat="false" ht="15.75" hidden="false" customHeight="false" outlineLevel="0" collapsed="false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customFormat="false" ht="15.75" hidden="false" customHeight="false" outlineLevel="0" collapsed="false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customFormat="false" ht="15.75" hidden="false" customHeight="false" outlineLevel="0" collapsed="false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customFormat="false" ht="15.75" hidden="false" customHeight="false" outlineLevel="0" collapsed="false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customFormat="false" ht="15.75" hidden="false" customHeight="false" outlineLevel="0" collapsed="false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customFormat="false" ht="15.75" hidden="false" customHeight="false" outlineLevel="0" collapsed="false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customFormat="false" ht="15.75" hidden="false" customHeight="false" outlineLevel="0" collapsed="false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customFormat="false" ht="15.75" hidden="false" customHeight="false" outlineLevel="0" collapsed="false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customFormat="false" ht="15.75" hidden="false" customHeight="false" outlineLevel="0" collapsed="false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customFormat="false" ht="15.75" hidden="false" customHeight="false" outlineLevel="0" collapsed="false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customFormat="false" ht="15.75" hidden="false" customHeight="false" outlineLevel="0" collapsed="false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customFormat="false" ht="15.75" hidden="false" customHeight="false" outlineLevel="0" collapsed="false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customFormat="false" ht="15.75" hidden="false" customHeight="false" outlineLevel="0" collapsed="false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customFormat="false" ht="15.75" hidden="false" customHeight="false" outlineLevel="0" collapsed="false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customFormat="false" ht="15.75" hidden="false" customHeight="false" outlineLevel="0" collapsed="false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customFormat="false" ht="15.75" hidden="false" customHeight="false" outlineLevel="0" collapsed="false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customFormat="false" ht="15.75" hidden="false" customHeight="false" outlineLevel="0" collapsed="false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customFormat="false" ht="15.75" hidden="false" customHeight="false" outlineLevel="0" collapsed="false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customFormat="false" ht="15.75" hidden="false" customHeight="false" outlineLevel="0" collapsed="false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customFormat="false" ht="15.75" hidden="false" customHeight="false" outlineLevel="0" collapsed="false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customFormat="false" ht="15.75" hidden="false" customHeight="false" outlineLevel="0" collapsed="false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customFormat="false" ht="15.75" hidden="false" customHeight="false" outlineLevel="0" collapsed="false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customFormat="false" ht="15.75" hidden="false" customHeight="false" outlineLevel="0" collapsed="false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customFormat="false" ht="15.75" hidden="false" customHeight="false" outlineLevel="0" collapsed="false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customFormat="false" ht="15.75" hidden="false" customHeight="false" outlineLevel="0" collapsed="false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customFormat="false" ht="15.75" hidden="false" customHeight="false" outlineLevel="0" collapsed="false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customFormat="false" ht="15.75" hidden="false" customHeight="false" outlineLevel="0" collapsed="false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customFormat="false" ht="15.75" hidden="false" customHeight="false" outlineLevel="0" collapsed="false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customFormat="false" ht="15.75" hidden="false" customHeight="false" outlineLevel="0" collapsed="false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customFormat="false" ht="15.75" hidden="false" customHeight="false" outlineLevel="0" collapsed="false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customFormat="false" ht="15.75" hidden="false" customHeight="false" outlineLevel="0" collapsed="false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customFormat="false" ht="15.75" hidden="false" customHeight="false" outlineLevel="0" collapsed="false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customFormat="false" ht="15.75" hidden="false" customHeight="false" outlineLevel="0" collapsed="false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customFormat="false" ht="15.75" hidden="false" customHeight="false" outlineLevel="0" collapsed="false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customFormat="false" ht="15.75" hidden="false" customHeight="false" outlineLevel="0" collapsed="false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customFormat="false" ht="15.75" hidden="false" customHeight="false" outlineLevel="0" collapsed="false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customFormat="false" ht="15.75" hidden="false" customHeight="false" outlineLevel="0" collapsed="false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customFormat="false" ht="15.75" hidden="false" customHeight="false" outlineLevel="0" collapsed="false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customFormat="false" ht="15.75" hidden="false" customHeight="false" outlineLevel="0" collapsed="false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customFormat="false" ht="15.75" hidden="false" customHeight="false" outlineLevel="0" collapsed="false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customFormat="false" ht="15.75" hidden="false" customHeight="false" outlineLevel="0" collapsed="false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customFormat="false" ht="15.75" hidden="false" customHeight="false" outlineLevel="0" collapsed="false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customFormat="false" ht="15.75" hidden="false" customHeight="false" outlineLevel="0" collapsed="false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customFormat="false" ht="15.75" hidden="false" customHeight="false" outlineLevel="0" collapsed="false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customFormat="false" ht="15.75" hidden="false" customHeight="false" outlineLevel="0" collapsed="false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customFormat="false" ht="15.75" hidden="false" customHeight="false" outlineLevel="0" collapsed="false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customFormat="false" ht="15.75" hidden="false" customHeight="false" outlineLevel="0" collapsed="false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customFormat="false" ht="15.75" hidden="false" customHeight="false" outlineLevel="0" collapsed="false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customFormat="false" ht="15.75" hidden="false" customHeight="false" outlineLevel="0" collapsed="false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customFormat="false" ht="15.75" hidden="false" customHeight="false" outlineLevel="0" collapsed="false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customFormat="false" ht="15.75" hidden="false" customHeight="false" outlineLevel="0" collapsed="false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customFormat="false" ht="15.75" hidden="false" customHeight="false" outlineLevel="0" collapsed="false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customFormat="false" ht="15.75" hidden="false" customHeight="false" outlineLevel="0" collapsed="false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customFormat="false" ht="15.75" hidden="false" customHeight="false" outlineLevel="0" collapsed="false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customFormat="false" ht="15.75" hidden="false" customHeight="false" outlineLevel="0" collapsed="false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customFormat="false" ht="15.75" hidden="false" customHeight="false" outlineLevel="0" collapsed="false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customFormat="false" ht="15.75" hidden="false" customHeight="false" outlineLevel="0" collapsed="false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customFormat="false" ht="15.75" hidden="false" customHeight="false" outlineLevel="0" collapsed="false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customFormat="false" ht="15.75" hidden="false" customHeight="false" outlineLevel="0" collapsed="false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customFormat="false" ht="15.75" hidden="false" customHeight="false" outlineLevel="0" collapsed="false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customFormat="false" ht="15.75" hidden="false" customHeight="false" outlineLevel="0" collapsed="false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customFormat="false" ht="15.75" hidden="false" customHeight="false" outlineLevel="0" collapsed="false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customFormat="false" ht="15.75" hidden="false" customHeight="false" outlineLevel="0" collapsed="false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customFormat="false" ht="15.75" hidden="false" customHeight="false" outlineLevel="0" collapsed="false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customFormat="false" ht="15.75" hidden="false" customHeight="false" outlineLevel="0" collapsed="false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customFormat="false" ht="15.75" hidden="false" customHeight="false" outlineLevel="0" collapsed="false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customFormat="false" ht="15.75" hidden="false" customHeight="false" outlineLevel="0" collapsed="false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customFormat="false" ht="15.75" hidden="false" customHeight="false" outlineLevel="0" collapsed="false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customFormat="false" ht="15.75" hidden="false" customHeight="false" outlineLevel="0" collapsed="false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customFormat="false" ht="15.75" hidden="false" customHeight="false" outlineLevel="0" collapsed="false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customFormat="false" ht="15.75" hidden="false" customHeight="false" outlineLevel="0" collapsed="false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customFormat="false" ht="15.75" hidden="false" customHeight="false" outlineLevel="0" collapsed="false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customFormat="false" ht="15.75" hidden="false" customHeight="false" outlineLevel="0" collapsed="false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customFormat="false" ht="15.75" hidden="false" customHeight="false" outlineLevel="0" collapsed="false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customFormat="false" ht="15.75" hidden="false" customHeight="false" outlineLevel="0" collapsed="false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customFormat="false" ht="15.75" hidden="false" customHeight="false" outlineLevel="0" collapsed="false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customFormat="false" ht="15.75" hidden="false" customHeight="false" outlineLevel="0" collapsed="false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customFormat="false" ht="15.75" hidden="false" customHeight="false" outlineLevel="0" collapsed="false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customFormat="false" ht="15.75" hidden="false" customHeight="false" outlineLevel="0" collapsed="false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customFormat="false" ht="15.75" hidden="false" customHeight="false" outlineLevel="0" collapsed="false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customFormat="false" ht="15.75" hidden="false" customHeight="false" outlineLevel="0" collapsed="false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customFormat="false" ht="15.75" hidden="false" customHeight="false" outlineLevel="0" collapsed="false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customFormat="false" ht="15.75" hidden="false" customHeight="false" outlineLevel="0" collapsed="false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customFormat="false" ht="15.75" hidden="false" customHeight="false" outlineLevel="0" collapsed="false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customFormat="false" ht="15.75" hidden="false" customHeight="false" outlineLevel="0" collapsed="false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customFormat="false" ht="15.75" hidden="false" customHeight="false" outlineLevel="0" collapsed="false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customFormat="false" ht="15.75" hidden="false" customHeight="false" outlineLevel="0" collapsed="false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customFormat="false" ht="15.75" hidden="false" customHeight="false" outlineLevel="0" collapsed="false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customFormat="false" ht="15.75" hidden="false" customHeight="false" outlineLevel="0" collapsed="false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customFormat="false" ht="15.75" hidden="false" customHeight="false" outlineLevel="0" collapsed="false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customFormat="false" ht="15.75" hidden="false" customHeight="false" outlineLevel="0" collapsed="false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customFormat="false" ht="15.75" hidden="false" customHeight="false" outlineLevel="0" collapsed="false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customFormat="false" ht="15.75" hidden="false" customHeight="false" outlineLevel="0" collapsed="false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customFormat="false" ht="15.75" hidden="false" customHeight="false" outlineLevel="0" collapsed="false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customFormat="false" ht="15.75" hidden="false" customHeight="false" outlineLevel="0" collapsed="false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customFormat="false" ht="15.75" hidden="false" customHeight="false" outlineLevel="0" collapsed="false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customFormat="false" ht="15.75" hidden="false" customHeight="false" outlineLevel="0" collapsed="false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customFormat="false" ht="15.75" hidden="false" customHeight="false" outlineLevel="0" collapsed="false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customFormat="false" ht="15.75" hidden="false" customHeight="false" outlineLevel="0" collapsed="false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customFormat="false" ht="15.75" hidden="false" customHeight="false" outlineLevel="0" collapsed="false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customFormat="false" ht="15.75" hidden="false" customHeight="false" outlineLevel="0" collapsed="false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customFormat="false" ht="15.75" hidden="false" customHeight="false" outlineLevel="0" collapsed="false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customFormat="false" ht="15.75" hidden="false" customHeight="false" outlineLevel="0" collapsed="false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customFormat="false" ht="15.75" hidden="false" customHeight="false" outlineLevel="0" collapsed="false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customFormat="false" ht="15.75" hidden="false" customHeight="false" outlineLevel="0" collapsed="false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customFormat="false" ht="15.75" hidden="false" customHeight="false" outlineLevel="0" collapsed="false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customFormat="false" ht="15.75" hidden="false" customHeight="false" outlineLevel="0" collapsed="false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customFormat="false" ht="15.75" hidden="false" customHeight="false" outlineLevel="0" collapsed="false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customFormat="false" ht="15.75" hidden="false" customHeight="false" outlineLevel="0" collapsed="false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customFormat="false" ht="15.75" hidden="false" customHeight="false" outlineLevel="0" collapsed="false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customFormat="false" ht="15.75" hidden="false" customHeight="false" outlineLevel="0" collapsed="false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customFormat="false" ht="15.75" hidden="false" customHeight="false" outlineLevel="0" collapsed="false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customFormat="false" ht="15.75" hidden="false" customHeight="false" outlineLevel="0" collapsed="false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customFormat="false" ht="15.75" hidden="false" customHeight="false" outlineLevel="0" collapsed="false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customFormat="false" ht="15.75" hidden="false" customHeight="false" outlineLevel="0" collapsed="false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customFormat="false" ht="15.75" hidden="false" customHeight="false" outlineLevel="0" collapsed="false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customFormat="false" ht="15.75" hidden="false" customHeight="false" outlineLevel="0" collapsed="false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customFormat="false" ht="15.75" hidden="false" customHeight="false" outlineLevel="0" collapsed="false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customFormat="false" ht="15.75" hidden="false" customHeight="false" outlineLevel="0" collapsed="false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customFormat="false" ht="15.75" hidden="false" customHeight="false" outlineLevel="0" collapsed="false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customFormat="false" ht="15.75" hidden="false" customHeight="false" outlineLevel="0" collapsed="false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customFormat="false" ht="15.75" hidden="false" customHeight="false" outlineLevel="0" collapsed="false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customFormat="false" ht="15.75" hidden="false" customHeight="false" outlineLevel="0" collapsed="false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customFormat="false" ht="15.75" hidden="false" customHeight="false" outlineLevel="0" collapsed="false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customFormat="false" ht="15.75" hidden="false" customHeight="false" outlineLevel="0" collapsed="false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customFormat="false" ht="15.75" hidden="false" customHeight="false" outlineLevel="0" collapsed="false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customFormat="false" ht="15.75" hidden="false" customHeight="false" outlineLevel="0" collapsed="false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customFormat="false" ht="15.75" hidden="false" customHeight="false" outlineLevel="0" collapsed="false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customFormat="false" ht="15.75" hidden="false" customHeight="false" outlineLevel="0" collapsed="false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customFormat="false" ht="15.75" hidden="false" customHeight="false" outlineLevel="0" collapsed="false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customFormat="false" ht="15.75" hidden="false" customHeight="false" outlineLevel="0" collapsed="false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customFormat="false" ht="15.75" hidden="false" customHeight="false" outlineLevel="0" collapsed="false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customFormat="false" ht="15.75" hidden="false" customHeight="false" outlineLevel="0" collapsed="false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customFormat="false" ht="15.75" hidden="false" customHeight="false" outlineLevel="0" collapsed="false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customFormat="false" ht="15.75" hidden="false" customHeight="false" outlineLevel="0" collapsed="false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customFormat="false" ht="15.75" hidden="false" customHeight="false" outlineLevel="0" collapsed="false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customFormat="false" ht="15.75" hidden="false" customHeight="false" outlineLevel="0" collapsed="false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customFormat="false" ht="15.75" hidden="false" customHeight="false" outlineLevel="0" collapsed="false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customFormat="false" ht="15.75" hidden="false" customHeight="false" outlineLevel="0" collapsed="false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customFormat="false" ht="15.75" hidden="false" customHeight="false" outlineLevel="0" collapsed="false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customFormat="false" ht="15.75" hidden="false" customHeight="false" outlineLevel="0" collapsed="false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customFormat="false" ht="15.75" hidden="false" customHeight="false" outlineLevel="0" collapsed="false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customFormat="false" ht="15.75" hidden="false" customHeight="false" outlineLevel="0" collapsed="false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customFormat="false" ht="15.75" hidden="false" customHeight="false" outlineLevel="0" collapsed="false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customFormat="false" ht="15.75" hidden="false" customHeight="false" outlineLevel="0" collapsed="false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customFormat="false" ht="15.75" hidden="false" customHeight="false" outlineLevel="0" collapsed="false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customFormat="false" ht="15.75" hidden="false" customHeight="false" outlineLevel="0" collapsed="false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customFormat="false" ht="15.75" hidden="false" customHeight="false" outlineLevel="0" collapsed="false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customFormat="false" ht="15.75" hidden="false" customHeight="false" outlineLevel="0" collapsed="false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customFormat="false" ht="15.75" hidden="false" customHeight="false" outlineLevel="0" collapsed="false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customFormat="false" ht="15.75" hidden="false" customHeight="false" outlineLevel="0" collapsed="false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customFormat="false" ht="15.75" hidden="false" customHeight="false" outlineLevel="0" collapsed="false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customFormat="false" ht="15.75" hidden="false" customHeight="false" outlineLevel="0" collapsed="false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customFormat="false" ht="15.75" hidden="false" customHeight="false" outlineLevel="0" collapsed="false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customFormat="false" ht="15.75" hidden="false" customHeight="false" outlineLevel="0" collapsed="false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customFormat="false" ht="15.75" hidden="false" customHeight="false" outlineLevel="0" collapsed="false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customFormat="false" ht="15.75" hidden="false" customHeight="false" outlineLevel="0" collapsed="false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customFormat="false" ht="15.75" hidden="false" customHeight="false" outlineLevel="0" collapsed="false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customFormat="false" ht="15.75" hidden="false" customHeight="false" outlineLevel="0" collapsed="false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customFormat="false" ht="15.75" hidden="false" customHeight="false" outlineLevel="0" collapsed="false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customFormat="false" ht="15.75" hidden="false" customHeight="false" outlineLevel="0" collapsed="false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customFormat="false" ht="15.75" hidden="false" customHeight="false" outlineLevel="0" collapsed="false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customFormat="false" ht="15.75" hidden="false" customHeight="false" outlineLevel="0" collapsed="false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customFormat="false" ht="15.75" hidden="false" customHeight="false" outlineLevel="0" collapsed="false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customFormat="false" ht="15.75" hidden="false" customHeight="false" outlineLevel="0" collapsed="false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customFormat="false" ht="15.75" hidden="false" customHeight="false" outlineLevel="0" collapsed="false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customFormat="false" ht="15.75" hidden="false" customHeight="false" outlineLevel="0" collapsed="false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customFormat="false" ht="15.75" hidden="false" customHeight="false" outlineLevel="0" collapsed="false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customFormat="false" ht="15.75" hidden="false" customHeight="false" outlineLevel="0" collapsed="false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customFormat="false" ht="15.75" hidden="false" customHeight="false" outlineLevel="0" collapsed="false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customFormat="false" ht="15.75" hidden="false" customHeight="false" outlineLevel="0" collapsed="false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customFormat="false" ht="15.75" hidden="false" customHeight="false" outlineLevel="0" collapsed="false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customFormat="false" ht="15.75" hidden="false" customHeight="false" outlineLevel="0" collapsed="false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customFormat="false" ht="15.75" hidden="false" customHeight="false" outlineLevel="0" collapsed="false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customFormat="false" ht="15.75" hidden="false" customHeight="false" outlineLevel="0" collapsed="false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customFormat="false" ht="15.75" hidden="false" customHeight="false" outlineLevel="0" collapsed="false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customFormat="false" ht="15.75" hidden="false" customHeight="false" outlineLevel="0" collapsed="false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customFormat="false" ht="15.75" hidden="false" customHeight="false" outlineLevel="0" collapsed="false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customFormat="false" ht="15.75" hidden="false" customHeight="false" outlineLevel="0" collapsed="false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customFormat="false" ht="15.75" hidden="false" customHeight="false" outlineLevel="0" collapsed="false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customFormat="false" ht="15.75" hidden="false" customHeight="false" outlineLevel="0" collapsed="false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customFormat="false" ht="15.75" hidden="false" customHeight="false" outlineLevel="0" collapsed="false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customFormat="false" ht="15.75" hidden="false" customHeight="false" outlineLevel="0" collapsed="false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customFormat="false" ht="15.75" hidden="false" customHeight="false" outlineLevel="0" collapsed="false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customFormat="false" ht="15.75" hidden="false" customHeight="false" outlineLevel="0" collapsed="false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customFormat="false" ht="15.75" hidden="false" customHeight="false" outlineLevel="0" collapsed="false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customFormat="false" ht="15.75" hidden="false" customHeight="false" outlineLevel="0" collapsed="false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customFormat="false" ht="15.75" hidden="false" customHeight="false" outlineLevel="0" collapsed="false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customFormat="false" ht="15.75" hidden="false" customHeight="false" outlineLevel="0" collapsed="false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customFormat="false" ht="15.75" hidden="false" customHeight="false" outlineLevel="0" collapsed="false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customFormat="false" ht="15.75" hidden="false" customHeight="false" outlineLevel="0" collapsed="false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customFormat="false" ht="15.75" hidden="false" customHeight="false" outlineLevel="0" collapsed="false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customFormat="false" ht="15.75" hidden="false" customHeight="false" outlineLevel="0" collapsed="false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customFormat="false" ht="15.75" hidden="false" customHeight="false" outlineLevel="0" collapsed="false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customFormat="false" ht="15.75" hidden="false" customHeight="false" outlineLevel="0" collapsed="false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customFormat="false" ht="15.75" hidden="false" customHeight="false" outlineLevel="0" collapsed="false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customFormat="false" ht="15.75" hidden="false" customHeight="false" outlineLevel="0" collapsed="false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customFormat="false" ht="15.75" hidden="false" customHeight="false" outlineLevel="0" collapsed="false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customFormat="false" ht="15.75" hidden="false" customHeight="false" outlineLevel="0" collapsed="false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customFormat="false" ht="15.75" hidden="false" customHeight="false" outlineLevel="0" collapsed="false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customFormat="false" ht="15.75" hidden="false" customHeight="false" outlineLevel="0" collapsed="false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customFormat="false" ht="15.75" hidden="false" customHeight="false" outlineLevel="0" collapsed="false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customFormat="false" ht="15.75" hidden="false" customHeight="false" outlineLevel="0" collapsed="false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customFormat="false" ht="15.75" hidden="false" customHeight="false" outlineLevel="0" collapsed="false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customFormat="false" ht="15.75" hidden="false" customHeight="false" outlineLevel="0" collapsed="false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customFormat="false" ht="15.75" hidden="false" customHeight="false" outlineLevel="0" collapsed="false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customFormat="false" ht="15.75" hidden="false" customHeight="false" outlineLevel="0" collapsed="false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customFormat="false" ht="15.75" hidden="false" customHeight="false" outlineLevel="0" collapsed="false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customFormat="false" ht="15.75" hidden="false" customHeight="false" outlineLevel="0" collapsed="false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customFormat="false" ht="15.75" hidden="false" customHeight="false" outlineLevel="0" collapsed="false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customFormat="false" ht="15.75" hidden="false" customHeight="false" outlineLevel="0" collapsed="false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customFormat="false" ht="15.75" hidden="false" customHeight="false" outlineLevel="0" collapsed="false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customFormat="false" ht="15.75" hidden="false" customHeight="false" outlineLevel="0" collapsed="false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customFormat="false" ht="15.75" hidden="false" customHeight="false" outlineLevel="0" collapsed="false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customFormat="false" ht="15.75" hidden="false" customHeight="false" outlineLevel="0" collapsed="false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customFormat="false" ht="15.75" hidden="false" customHeight="false" outlineLevel="0" collapsed="false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customFormat="false" ht="15.75" hidden="false" customHeight="false" outlineLevel="0" collapsed="false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customFormat="false" ht="15.75" hidden="false" customHeight="false" outlineLevel="0" collapsed="false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customFormat="false" ht="15.75" hidden="false" customHeight="false" outlineLevel="0" collapsed="false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customFormat="false" ht="15.75" hidden="false" customHeight="false" outlineLevel="0" collapsed="false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customFormat="false" ht="15.75" hidden="false" customHeight="false" outlineLevel="0" collapsed="false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customFormat="false" ht="15.75" hidden="false" customHeight="false" outlineLevel="0" collapsed="false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customFormat="false" ht="15.75" hidden="false" customHeight="false" outlineLevel="0" collapsed="false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customFormat="false" ht="15.75" hidden="false" customHeight="false" outlineLevel="0" collapsed="false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customFormat="false" ht="15.75" hidden="false" customHeight="false" outlineLevel="0" collapsed="false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customFormat="false" ht="15.75" hidden="false" customHeight="false" outlineLevel="0" collapsed="false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customFormat="false" ht="15.75" hidden="false" customHeight="false" outlineLevel="0" collapsed="false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customFormat="false" ht="15.75" hidden="false" customHeight="false" outlineLevel="0" collapsed="false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customFormat="false" ht="15.75" hidden="false" customHeight="false" outlineLevel="0" collapsed="false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customFormat="false" ht="15.75" hidden="false" customHeight="false" outlineLevel="0" collapsed="false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customFormat="false" ht="15.75" hidden="false" customHeight="false" outlineLevel="0" collapsed="false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customFormat="false" ht="15.75" hidden="false" customHeight="false" outlineLevel="0" collapsed="false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customFormat="false" ht="15.75" hidden="false" customHeight="false" outlineLevel="0" collapsed="false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customFormat="false" ht="15.75" hidden="false" customHeight="false" outlineLevel="0" collapsed="false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customFormat="false" ht="15.75" hidden="false" customHeight="false" outlineLevel="0" collapsed="false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customFormat="false" ht="15.75" hidden="false" customHeight="false" outlineLevel="0" collapsed="false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customFormat="false" ht="15.75" hidden="false" customHeight="false" outlineLevel="0" collapsed="false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customFormat="false" ht="15.75" hidden="false" customHeight="false" outlineLevel="0" collapsed="false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customFormat="false" ht="15.75" hidden="false" customHeight="false" outlineLevel="0" collapsed="false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customFormat="false" ht="15.75" hidden="false" customHeight="false" outlineLevel="0" collapsed="false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customFormat="false" ht="15.75" hidden="false" customHeight="false" outlineLevel="0" collapsed="false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customFormat="false" ht="15.75" hidden="false" customHeight="false" outlineLevel="0" collapsed="false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customFormat="false" ht="15.75" hidden="false" customHeight="false" outlineLevel="0" collapsed="false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customFormat="false" ht="15.75" hidden="false" customHeight="false" outlineLevel="0" collapsed="false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customFormat="false" ht="15.75" hidden="false" customHeight="false" outlineLevel="0" collapsed="false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customFormat="false" ht="15.75" hidden="false" customHeight="false" outlineLevel="0" collapsed="false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customFormat="false" ht="15.75" hidden="false" customHeight="false" outlineLevel="0" collapsed="false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customFormat="false" ht="15.75" hidden="false" customHeight="false" outlineLevel="0" collapsed="false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customFormat="false" ht="15.75" hidden="false" customHeight="false" outlineLevel="0" collapsed="false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customFormat="false" ht="15.75" hidden="false" customHeight="false" outlineLevel="0" collapsed="false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customFormat="false" ht="15.75" hidden="false" customHeight="false" outlineLevel="0" collapsed="false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customFormat="false" ht="15.75" hidden="false" customHeight="false" outlineLevel="0" collapsed="false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customFormat="false" ht="15.75" hidden="false" customHeight="false" outlineLevel="0" collapsed="false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customFormat="false" ht="15.75" hidden="false" customHeight="false" outlineLevel="0" collapsed="false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customFormat="false" ht="15.75" hidden="false" customHeight="false" outlineLevel="0" collapsed="false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customFormat="false" ht="15.75" hidden="false" customHeight="false" outlineLevel="0" collapsed="false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customFormat="false" ht="15.75" hidden="false" customHeight="false" outlineLevel="0" collapsed="false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customFormat="false" ht="15.75" hidden="false" customHeight="false" outlineLevel="0" collapsed="false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customFormat="false" ht="15.75" hidden="false" customHeight="false" outlineLevel="0" collapsed="false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customFormat="false" ht="15.75" hidden="false" customHeight="false" outlineLevel="0" collapsed="false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customFormat="false" ht="15.75" hidden="false" customHeight="false" outlineLevel="0" collapsed="false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customFormat="false" ht="15.75" hidden="false" customHeight="false" outlineLevel="0" collapsed="false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customFormat="false" ht="15.75" hidden="false" customHeight="false" outlineLevel="0" collapsed="false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customFormat="false" ht="15.75" hidden="false" customHeight="false" outlineLevel="0" collapsed="false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customFormat="false" ht="15.75" hidden="false" customHeight="false" outlineLevel="0" collapsed="false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customFormat="false" ht="15.75" hidden="false" customHeight="false" outlineLevel="0" collapsed="false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customFormat="false" ht="15.75" hidden="false" customHeight="false" outlineLevel="0" collapsed="false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customFormat="false" ht="15.75" hidden="false" customHeight="false" outlineLevel="0" collapsed="false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customFormat="false" ht="15.75" hidden="false" customHeight="false" outlineLevel="0" collapsed="false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customFormat="false" ht="15.75" hidden="false" customHeight="false" outlineLevel="0" collapsed="false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customFormat="false" ht="15.75" hidden="false" customHeight="false" outlineLevel="0" collapsed="false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customFormat="false" ht="15.75" hidden="false" customHeight="false" outlineLevel="0" collapsed="false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customFormat="false" ht="15.75" hidden="false" customHeight="false" outlineLevel="0" collapsed="false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customFormat="false" ht="15.75" hidden="false" customHeight="false" outlineLevel="0" collapsed="false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customFormat="false" ht="15.75" hidden="false" customHeight="false" outlineLevel="0" collapsed="false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customFormat="false" ht="15.75" hidden="false" customHeight="false" outlineLevel="0" collapsed="false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customFormat="false" ht="15.75" hidden="false" customHeight="false" outlineLevel="0" collapsed="false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customFormat="false" ht="15.75" hidden="false" customHeight="false" outlineLevel="0" collapsed="false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customFormat="false" ht="15.75" hidden="false" customHeight="false" outlineLevel="0" collapsed="false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customFormat="false" ht="15.75" hidden="false" customHeight="false" outlineLevel="0" collapsed="false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customFormat="false" ht="15.75" hidden="false" customHeight="false" outlineLevel="0" collapsed="false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customFormat="false" ht="15.75" hidden="false" customHeight="false" outlineLevel="0" collapsed="false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customFormat="false" ht="15.75" hidden="false" customHeight="false" outlineLevel="0" collapsed="false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customFormat="false" ht="15.75" hidden="false" customHeight="false" outlineLevel="0" collapsed="false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customFormat="false" ht="15.75" hidden="false" customHeight="false" outlineLevel="0" collapsed="false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customFormat="false" ht="15.75" hidden="false" customHeight="false" outlineLevel="0" collapsed="false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customFormat="false" ht="15.75" hidden="false" customHeight="false" outlineLevel="0" collapsed="false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customFormat="false" ht="15.75" hidden="false" customHeight="false" outlineLevel="0" collapsed="false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customFormat="false" ht="15.75" hidden="false" customHeight="false" outlineLevel="0" collapsed="false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customFormat="false" ht="15.75" hidden="false" customHeight="false" outlineLevel="0" collapsed="false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customFormat="false" ht="15.75" hidden="false" customHeight="false" outlineLevel="0" collapsed="false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customFormat="false" ht="15.75" hidden="false" customHeight="false" outlineLevel="0" collapsed="false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customFormat="false" ht="15.75" hidden="false" customHeight="false" outlineLevel="0" collapsed="false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customFormat="false" ht="15.75" hidden="false" customHeight="false" outlineLevel="0" collapsed="false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customFormat="false" ht="15.75" hidden="false" customHeight="false" outlineLevel="0" collapsed="false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customFormat="false" ht="15.75" hidden="false" customHeight="false" outlineLevel="0" collapsed="false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customFormat="false" ht="15.75" hidden="false" customHeight="false" outlineLevel="0" collapsed="false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customFormat="false" ht="15.75" hidden="false" customHeight="false" outlineLevel="0" collapsed="false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customFormat="false" ht="15.75" hidden="false" customHeight="false" outlineLevel="0" collapsed="false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customFormat="false" ht="15.75" hidden="false" customHeight="false" outlineLevel="0" collapsed="false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customFormat="false" ht="15.75" hidden="false" customHeight="false" outlineLevel="0" collapsed="false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customFormat="false" ht="15.75" hidden="false" customHeight="false" outlineLevel="0" collapsed="false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customFormat="false" ht="15.75" hidden="false" customHeight="false" outlineLevel="0" collapsed="false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customFormat="false" ht="15.75" hidden="false" customHeight="false" outlineLevel="0" collapsed="false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customFormat="false" ht="15.75" hidden="false" customHeight="false" outlineLevel="0" collapsed="false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customFormat="false" ht="15.75" hidden="false" customHeight="false" outlineLevel="0" collapsed="false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customFormat="false" ht="15.75" hidden="false" customHeight="false" outlineLevel="0" collapsed="false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customFormat="false" ht="15.75" hidden="false" customHeight="false" outlineLevel="0" collapsed="false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customFormat="false" ht="15.75" hidden="false" customHeight="false" outlineLevel="0" collapsed="false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customFormat="false" ht="15.75" hidden="false" customHeight="false" outlineLevel="0" collapsed="false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customFormat="false" ht="15.75" hidden="false" customHeight="false" outlineLevel="0" collapsed="false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customFormat="false" ht="15.75" hidden="false" customHeight="false" outlineLevel="0" collapsed="false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customFormat="false" ht="15.75" hidden="false" customHeight="false" outlineLevel="0" collapsed="false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customFormat="false" ht="15.75" hidden="false" customHeight="false" outlineLevel="0" collapsed="false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customFormat="false" ht="15.75" hidden="false" customHeight="false" outlineLevel="0" collapsed="false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customFormat="false" ht="15.75" hidden="false" customHeight="false" outlineLevel="0" collapsed="false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customFormat="false" ht="15.75" hidden="false" customHeight="false" outlineLevel="0" collapsed="false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customFormat="false" ht="15.75" hidden="false" customHeight="false" outlineLevel="0" collapsed="false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customFormat="false" ht="15.75" hidden="false" customHeight="false" outlineLevel="0" collapsed="false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customFormat="false" ht="15.75" hidden="false" customHeight="false" outlineLevel="0" collapsed="false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customFormat="false" ht="15.75" hidden="false" customHeight="false" outlineLevel="0" collapsed="false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customFormat="false" ht="15.75" hidden="false" customHeight="false" outlineLevel="0" collapsed="false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customFormat="false" ht="15.75" hidden="false" customHeight="false" outlineLevel="0" collapsed="false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customFormat="false" ht="15.75" hidden="false" customHeight="false" outlineLevel="0" collapsed="false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customFormat="false" ht="15.75" hidden="false" customHeight="false" outlineLevel="0" collapsed="false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customFormat="false" ht="15.75" hidden="false" customHeight="false" outlineLevel="0" collapsed="false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customFormat="false" ht="15.75" hidden="false" customHeight="false" outlineLevel="0" collapsed="false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customFormat="false" ht="15.75" hidden="false" customHeight="false" outlineLevel="0" collapsed="false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customFormat="false" ht="15.75" hidden="false" customHeight="false" outlineLevel="0" collapsed="false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customFormat="false" ht="15.75" hidden="false" customHeight="false" outlineLevel="0" collapsed="false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customFormat="false" ht="15.75" hidden="false" customHeight="false" outlineLevel="0" collapsed="false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customFormat="false" ht="15.75" hidden="false" customHeight="false" outlineLevel="0" collapsed="false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customFormat="false" ht="15.75" hidden="false" customHeight="false" outlineLevel="0" collapsed="false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customFormat="false" ht="15.75" hidden="false" customHeight="false" outlineLevel="0" collapsed="false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customFormat="false" ht="15.75" hidden="false" customHeight="false" outlineLevel="0" collapsed="false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customFormat="false" ht="15.75" hidden="false" customHeight="false" outlineLevel="0" collapsed="false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customFormat="false" ht="15.75" hidden="false" customHeight="false" outlineLevel="0" collapsed="false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customFormat="false" ht="15.75" hidden="false" customHeight="false" outlineLevel="0" collapsed="false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customFormat="false" ht="15.75" hidden="false" customHeight="false" outlineLevel="0" collapsed="false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customFormat="false" ht="15.75" hidden="false" customHeight="false" outlineLevel="0" collapsed="false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customFormat="false" ht="15.75" hidden="false" customHeight="false" outlineLevel="0" collapsed="false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customFormat="false" ht="15.75" hidden="false" customHeight="false" outlineLevel="0" collapsed="false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customFormat="false" ht="15.75" hidden="false" customHeight="false" outlineLevel="0" collapsed="false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customFormat="false" ht="15.75" hidden="false" customHeight="false" outlineLevel="0" collapsed="false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customFormat="false" ht="15.75" hidden="false" customHeight="false" outlineLevel="0" collapsed="false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customFormat="false" ht="15.75" hidden="false" customHeight="false" outlineLevel="0" collapsed="false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customFormat="false" ht="15.75" hidden="false" customHeight="false" outlineLevel="0" collapsed="false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customFormat="false" ht="15.75" hidden="false" customHeight="false" outlineLevel="0" collapsed="false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customFormat="false" ht="15.75" hidden="false" customHeight="false" outlineLevel="0" collapsed="false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customFormat="false" ht="15.75" hidden="false" customHeight="false" outlineLevel="0" collapsed="false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customFormat="false" ht="15.75" hidden="false" customHeight="false" outlineLevel="0" collapsed="false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customFormat="false" ht="15.75" hidden="false" customHeight="false" outlineLevel="0" collapsed="false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customFormat="false" ht="15.75" hidden="false" customHeight="false" outlineLevel="0" collapsed="false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customFormat="false" ht="15.75" hidden="false" customHeight="false" outlineLevel="0" collapsed="false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customFormat="false" ht="15.75" hidden="false" customHeight="false" outlineLevel="0" collapsed="false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customFormat="false" ht="15.75" hidden="false" customHeight="false" outlineLevel="0" collapsed="false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customFormat="false" ht="15.75" hidden="false" customHeight="false" outlineLevel="0" collapsed="false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customFormat="false" ht="15.75" hidden="false" customHeight="false" outlineLevel="0" collapsed="false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customFormat="false" ht="15.75" hidden="false" customHeight="false" outlineLevel="0" collapsed="false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customFormat="false" ht="15.75" hidden="false" customHeight="false" outlineLevel="0" collapsed="false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customFormat="false" ht="15.75" hidden="false" customHeight="false" outlineLevel="0" collapsed="false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customFormat="false" ht="15.75" hidden="false" customHeight="false" outlineLevel="0" collapsed="false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customFormat="false" ht="15.75" hidden="false" customHeight="false" outlineLevel="0" collapsed="false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customFormat="false" ht="15.75" hidden="false" customHeight="false" outlineLevel="0" collapsed="false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customFormat="false" ht="15.75" hidden="false" customHeight="false" outlineLevel="0" collapsed="false">
      <c r="A830" s="67" t="s">
        <v>856</v>
      </c>
      <c r="B830" s="67" t="s">
        <v>857</v>
      </c>
      <c r="C830" s="66" t="s">
        <v>21</v>
      </c>
      <c r="D830" s="66" t="s">
        <v>711</v>
      </c>
      <c r="E830" s="66" t="s">
        <v>26</v>
      </c>
      <c r="F830" s="80" t="n">
        <v>46736</v>
      </c>
      <c r="G830" s="67" t="s">
        <v>858</v>
      </c>
      <c r="H830" s="66" t="s">
        <v>840</v>
      </c>
      <c r="I830" s="75" t="n">
        <v>45695</v>
      </c>
      <c r="J830" s="76" t="b">
        <f aca="false">FALSE()</f>
        <v>0</v>
      </c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customFormat="false" ht="15.75" hidden="false" customHeight="false" outlineLevel="0" collapsed="false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customFormat="false" ht="15.75" hidden="false" customHeight="false" outlineLevel="0" collapsed="false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customFormat="false" ht="15.75" hidden="false" customHeight="false" outlineLevel="0" collapsed="false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customFormat="false" ht="15.75" hidden="false" customHeight="false" outlineLevel="0" collapsed="false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customFormat="false" ht="15.75" hidden="false" customHeight="false" outlineLevel="0" collapsed="false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customFormat="false" ht="15.75" hidden="false" customHeight="false" outlineLevel="0" collapsed="false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customFormat="false" ht="15.75" hidden="false" customHeight="false" outlineLevel="0" collapsed="false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customFormat="false" ht="15.75" hidden="false" customHeight="false" outlineLevel="0" collapsed="false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customFormat="false" ht="15.75" hidden="false" customHeight="false" outlineLevel="0" collapsed="false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customFormat="false" ht="15.75" hidden="false" customHeight="false" outlineLevel="0" collapsed="false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customFormat="false" ht="15.75" hidden="false" customHeight="false" outlineLevel="0" collapsed="false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customFormat="false" ht="15.75" hidden="false" customHeight="false" outlineLevel="0" collapsed="false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customFormat="false" ht="15.75" hidden="false" customHeight="false" outlineLevel="0" collapsed="false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customFormat="false" ht="15.75" hidden="false" customHeight="false" outlineLevel="0" collapsed="false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customFormat="false" ht="15.75" hidden="false" customHeight="false" outlineLevel="0" collapsed="false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customFormat="false" ht="15.75" hidden="false" customHeight="false" outlineLevel="0" collapsed="false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customFormat="false" ht="15.75" hidden="false" customHeight="false" outlineLevel="0" collapsed="false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customFormat="false" ht="15.75" hidden="false" customHeight="false" outlineLevel="0" collapsed="false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customFormat="false" ht="15.75" hidden="false" customHeight="false" outlineLevel="0" collapsed="false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customFormat="false" ht="15.75" hidden="false" customHeight="false" outlineLevel="0" collapsed="false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customFormat="false" ht="15.75" hidden="false" customHeight="false" outlineLevel="0" collapsed="false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customFormat="false" ht="15.75" hidden="false" customHeight="false" outlineLevel="0" collapsed="false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customFormat="false" ht="15.75" hidden="false" customHeight="false" outlineLevel="0" collapsed="false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customFormat="false" ht="15.75" hidden="false" customHeight="false" outlineLevel="0" collapsed="false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customFormat="false" ht="15.75" hidden="false" customHeight="false" outlineLevel="0" collapsed="false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customFormat="false" ht="15.75" hidden="false" customHeight="false" outlineLevel="0" collapsed="false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customFormat="false" ht="15.75" hidden="false" customHeight="false" outlineLevel="0" collapsed="false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customFormat="false" ht="15.75" hidden="false" customHeight="false" outlineLevel="0" collapsed="false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customFormat="false" ht="15.75" hidden="false" customHeight="false" outlineLevel="0" collapsed="false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customFormat="false" ht="15.75" hidden="false" customHeight="false" outlineLevel="0" collapsed="false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customFormat="false" ht="15.75" hidden="false" customHeight="false" outlineLevel="0" collapsed="false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customFormat="false" ht="15.75" hidden="false" customHeight="false" outlineLevel="0" collapsed="false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customFormat="false" ht="15.75" hidden="false" customHeight="false" outlineLevel="0" collapsed="false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customFormat="false" ht="15.75" hidden="false" customHeight="false" outlineLevel="0" collapsed="false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customFormat="false" ht="15.75" hidden="false" customHeight="false" outlineLevel="0" collapsed="false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customFormat="false" ht="15.75" hidden="false" customHeight="false" outlineLevel="0" collapsed="false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customFormat="false" ht="15.75" hidden="false" customHeight="false" outlineLevel="0" collapsed="false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customFormat="false" ht="15.75" hidden="false" customHeight="false" outlineLevel="0" collapsed="false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customFormat="false" ht="15.75" hidden="false" customHeight="false" outlineLevel="0" collapsed="false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customFormat="false" ht="15.75" hidden="false" customHeight="false" outlineLevel="0" collapsed="false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customFormat="false" ht="15.75" hidden="false" customHeight="false" outlineLevel="0" collapsed="false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customFormat="false" ht="15.75" hidden="false" customHeight="false" outlineLevel="0" collapsed="false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customFormat="false" ht="15.75" hidden="false" customHeight="false" outlineLevel="0" collapsed="false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customFormat="false" ht="15.75" hidden="false" customHeight="false" outlineLevel="0" collapsed="false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customFormat="false" ht="15.75" hidden="false" customHeight="false" outlineLevel="0" collapsed="false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customFormat="false" ht="15.75" hidden="false" customHeight="false" outlineLevel="0" collapsed="false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customFormat="false" ht="15.75" hidden="false" customHeight="false" outlineLevel="0" collapsed="false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customFormat="false" ht="15.75" hidden="false" customHeight="false" outlineLevel="0" collapsed="false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customFormat="false" ht="15.75" hidden="false" customHeight="false" outlineLevel="0" collapsed="false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customFormat="false" ht="15.75" hidden="false" customHeight="false" outlineLevel="0" collapsed="false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customFormat="false" ht="15.75" hidden="false" customHeight="false" outlineLevel="0" collapsed="false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customFormat="false" ht="15.75" hidden="false" customHeight="false" outlineLevel="0" collapsed="false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customFormat="false" ht="15.75" hidden="false" customHeight="false" outlineLevel="0" collapsed="false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customFormat="false" ht="15.75" hidden="false" customHeight="false" outlineLevel="0" collapsed="false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customFormat="false" ht="15.75" hidden="false" customHeight="false" outlineLevel="0" collapsed="false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customFormat="false" ht="15.75" hidden="false" customHeight="false" outlineLevel="0" collapsed="false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customFormat="false" ht="15.75" hidden="false" customHeight="false" outlineLevel="0" collapsed="false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customFormat="false" ht="15.75" hidden="false" customHeight="false" outlineLevel="0" collapsed="false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customFormat="false" ht="15.75" hidden="false" customHeight="false" outlineLevel="0" collapsed="false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customFormat="false" ht="15.75" hidden="false" customHeight="false" outlineLevel="0" collapsed="false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customFormat="false" ht="15.75" hidden="false" customHeight="false" outlineLevel="0" collapsed="false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</sheetData>
  <dataValidations count="12">
    <dataValidation allowBlank="true" errorStyle="stop" operator="between" showDropDown="false" showErrorMessage="false" showInputMessage="false" sqref="H49:H50" type="list">
      <formula1>"Fábio,Nacamura,João,Lucas,Amanda,Larissa"</formula1>
      <formula2>0</formula2>
    </dataValidation>
    <dataValidation allowBlank="true" errorStyle="stop" operator="between" showDropDown="false" showErrorMessage="false" showInputMessage="false" sqref="H48" type="list">
      <formula1>"Fábio,Monaliza,Matheus,Nacamura,Leticia,Gabriel,Pedro,Kenji,João"</formula1>
      <formula2>0</formula2>
    </dataValidation>
    <dataValidation allowBlank="true" errorStyle="stop" operator="between" showDropDown="false" showErrorMessage="false" showInputMessage="false" sqref="C7 C10 C12 C14 C18 C20 C48:C50 C53 C58 C62:C63 C66:C69 C72:C73 C79" type="list">
      <formula1>"Vortx,Oliveira Trust,Pavarini,Pentagono"</formula1>
      <formula2>0</formula2>
    </dataValidation>
    <dataValidation allowBlank="true" errorStyle="stop" operator="between" showDropDown="false" showErrorMessage="false" showInputMessage="false" sqref="D7 D10:D12 D14 D18 D20 D48:D50 D52:D53 D58 D60 D62:D63 D66:D73 D76:D77 D79 D81 D830" type="list">
      <formula1>"Homologado,Revisar,Valor Planilha,Valor Vencido,Resgate Antecipado,Outros"</formula1>
      <formula2>0</formula2>
    </dataValidation>
    <dataValidation allowBlank="true" errorStyle="stop" operator="between" showDropDown="false" showErrorMessage="false" showInputMessage="false" sqref="H58" type="list">
      <formula1>"Fábio,Monaliza,Matheus,Nacamura,Letícia,Mauricio"</formula1>
      <formula2>0</formula2>
    </dataValidation>
    <dataValidation allowBlank="true" errorStyle="stop" operator="between" showDropDown="false" showErrorMessage="false" showInputMessage="false" sqref="C11 C60 C70:C71" type="list">
      <formula1>"Vortx,Oliveira Trust,Pavarini"</formula1>
      <formula2>0</formula2>
    </dataValidation>
    <dataValidation allowBlank="true" errorStyle="stop" operator="between" showDropDown="false" showErrorMessage="false" showInputMessage="false" sqref="H76" type="list">
      <formula1>"Fábio,Monaliza,Matheus,Nacamura,Leticia,Gabriel,Pedro,Kenji,João,Rafael"</formula1>
      <formula2>0</formula2>
    </dataValidation>
    <dataValidation allowBlank="true" errorStyle="stop" operator="between" showDropDown="false" showErrorMessage="false" showInputMessage="false" sqref="H60 H830" type="list">
      <formula1>"Fábio,Monaliza,Matheus,Nacamura,Marcelo"</formula1>
      <formula2>0</formula2>
    </dataValidation>
    <dataValidation allowBlank="true" errorStyle="stop" operator="between" showDropDown="false" showErrorMessage="false" showInputMessage="false" sqref="H81" type="list">
      <formula1>"Fábio,Monaliza,Matheus,Nacamura,Leticia,Gabriel,Pedro,Kenji"</formula1>
      <formula2>0</formula2>
    </dataValidation>
    <dataValidation allowBlank="true" errorStyle="stop" operator="between" showDropDown="false" showErrorMessage="false" showInputMessage="false" sqref="C52 C76:C77 C81 C830" type="list">
      <formula1>"Vortx,Oliveira Trust,Pavarini,Pentagono,Commcor"</formula1>
      <formula2>0</formula2>
    </dataValidation>
    <dataValidation allowBlank="true" errorStyle="stop" operator="between" showDropDown="false" showErrorMessage="false" showInputMessage="false" sqref="H62:H63" type="list">
      <formula1>"Fábio,Monaliza,Nacamura,Leticia,Gabriel,Pedro,Leticia"</formula1>
      <formula2>0</formula2>
    </dataValidation>
    <dataValidation allowBlank="true" errorStyle="stop" operator="between" showDropDown="false" showErrorMessage="false" showInputMessage="false" sqref="H52:H53 H66:H73 H79" type="list">
      <formula1>"Fábio,Nacamura,Pedro,João,Lucas,Rafael,Amanda"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28.75"/>
    <col collapsed="false" customWidth="true" hidden="false" outlineLevel="0" max="4" min="3" style="0" width="11.75"/>
    <col collapsed="false" customWidth="true" hidden="false" outlineLevel="0" max="5" min="5" style="0" width="14"/>
    <col collapsed="false" customWidth="true" hidden="false" outlineLevel="0" max="7" min="6" style="0" width="40.12"/>
    <col collapsed="false" customWidth="true" hidden="false" outlineLevel="0" max="8" min="8" style="0" width="17.38"/>
    <col collapsed="false" customWidth="true" hidden="false" outlineLevel="0" max="9" min="9" style="0" width="27.88"/>
    <col collapsed="false" customWidth="true" hidden="false" outlineLevel="0" max="10" min="10" style="0" width="10.75"/>
    <col collapsed="false" customWidth="true" hidden="false" outlineLevel="0" max="11" min="11" style="0" width="18.38"/>
    <col collapsed="false" customWidth="true" hidden="false" outlineLevel="0" max="12" min="12" style="0" width="43.51"/>
    <col collapsed="false" customWidth="true" hidden="false" outlineLevel="0" max="13" min="13" style="0" width="159.25"/>
  </cols>
  <sheetData>
    <row r="1" customFormat="false" ht="15.75" hidden="false" customHeight="false" outlineLevel="0" collapsed="false">
      <c r="A1" s="85" t="s">
        <v>859</v>
      </c>
      <c r="B1" s="85" t="s">
        <v>860</v>
      </c>
      <c r="C1" s="85" t="s">
        <v>861</v>
      </c>
      <c r="D1" s="85" t="s">
        <v>862</v>
      </c>
      <c r="E1" s="85" t="s">
        <v>863</v>
      </c>
      <c r="F1" s="85" t="s">
        <v>864</v>
      </c>
      <c r="G1" s="85" t="s">
        <v>865</v>
      </c>
      <c r="H1" s="85" t="s">
        <v>866</v>
      </c>
      <c r="I1" s="51" t="s">
        <v>867</v>
      </c>
      <c r="J1" s="51" t="s">
        <v>868</v>
      </c>
      <c r="K1" s="51" t="s">
        <v>869</v>
      </c>
      <c r="L1" s="51" t="s">
        <v>870</v>
      </c>
      <c r="M1" s="51" t="s">
        <v>871</v>
      </c>
    </row>
    <row r="2" customFormat="false" ht="15.75" hidden="false" customHeight="false" outlineLevel="0" collapsed="false">
      <c r="A2" s="86" t="s">
        <v>872</v>
      </c>
      <c r="B2" s="86" t="s">
        <v>873</v>
      </c>
      <c r="C2" s="87" t="n">
        <v>90.77239585</v>
      </c>
      <c r="D2" s="87" t="n">
        <v>263.3037855</v>
      </c>
      <c r="E2" s="87" t="n">
        <f aca="false">D2-C2</f>
        <v>172.53138965</v>
      </c>
      <c r="F2" s="51" t="s">
        <v>711</v>
      </c>
      <c r="G2" s="51"/>
      <c r="H2" s="51" t="s">
        <v>711</v>
      </c>
      <c r="I2" s="88" t="s">
        <v>874</v>
      </c>
      <c r="J2" s="51" t="n">
        <v>90.77239585</v>
      </c>
      <c r="K2" s="51" t="str">
        <f aca="false">IF(J2=C2,"Bate","Não Bate")</f>
        <v>Bate</v>
      </c>
      <c r="M2" s="51" t="s">
        <v>875</v>
      </c>
    </row>
    <row r="3" customFormat="false" ht="15.75" hidden="false" customHeight="false" outlineLevel="0" collapsed="false">
      <c r="A3" s="86" t="s">
        <v>872</v>
      </c>
      <c r="B3" s="86" t="s">
        <v>876</v>
      </c>
      <c r="C3" s="87" t="n">
        <v>143.4518834</v>
      </c>
      <c r="D3" s="87" t="n">
        <v>409.2361793</v>
      </c>
      <c r="E3" s="87" t="n">
        <f aca="false">D3-C3</f>
        <v>265.7842959</v>
      </c>
      <c r="F3" s="51" t="s">
        <v>711</v>
      </c>
      <c r="G3" s="51"/>
      <c r="H3" s="51" t="s">
        <v>711</v>
      </c>
      <c r="I3" s="88" t="s">
        <v>874</v>
      </c>
      <c r="J3" s="51" t="n">
        <v>143.45188335</v>
      </c>
      <c r="K3" s="51" t="str">
        <f aca="false">IF(J3=C3,"Bate","Não Bate")</f>
        <v>Não Bate</v>
      </c>
    </row>
    <row r="4" customFormat="false" ht="15.75" hidden="false" customHeight="false" outlineLevel="0" collapsed="false">
      <c r="A4" s="86" t="s">
        <v>877</v>
      </c>
      <c r="B4" s="86" t="s">
        <v>873</v>
      </c>
      <c r="C4" s="87" t="n">
        <v>4.13196197</v>
      </c>
      <c r="D4" s="89" t="s">
        <v>878</v>
      </c>
      <c r="E4" s="87" t="e">
        <f aca="false">D4-C4</f>
        <v>#VALUE!</v>
      </c>
      <c r="F4" s="51" t="s">
        <v>879</v>
      </c>
      <c r="G4" s="51" t="s">
        <v>880</v>
      </c>
      <c r="H4" s="51" t="s">
        <v>881</v>
      </c>
      <c r="I4" s="88"/>
      <c r="K4" s="51" t="str">
        <f aca="false">IF(J4=C4,"Bate","Não Bate")</f>
        <v>Não Bate</v>
      </c>
      <c r="M4" s="51" t="s">
        <v>882</v>
      </c>
    </row>
    <row r="5" customFormat="false" ht="15.75" hidden="false" customHeight="false" outlineLevel="0" collapsed="false">
      <c r="A5" s="86" t="s">
        <v>877</v>
      </c>
      <c r="B5" s="86" t="s">
        <v>883</v>
      </c>
      <c r="C5" s="87" t="n">
        <v>4.27771536</v>
      </c>
      <c r="D5" s="89" t="s">
        <v>878</v>
      </c>
      <c r="E5" s="87" t="e">
        <f aca="false">D5-C5</f>
        <v>#VALUE!</v>
      </c>
      <c r="F5" s="51" t="s">
        <v>879</v>
      </c>
      <c r="G5" s="51" t="s">
        <v>880</v>
      </c>
      <c r="H5" s="51" t="s">
        <v>881</v>
      </c>
      <c r="I5" s="88"/>
      <c r="K5" s="51" t="str">
        <f aca="false">IF(J5=C5,"Bate","Não Bate")</f>
        <v>Não Bate</v>
      </c>
    </row>
    <row r="6" customFormat="false" ht="15.75" hidden="false" customHeight="false" outlineLevel="0" collapsed="false">
      <c r="A6" s="86" t="s">
        <v>884</v>
      </c>
      <c r="B6" s="86" t="s">
        <v>873</v>
      </c>
      <c r="C6" s="87" t="n">
        <v>253.2090718</v>
      </c>
      <c r="D6" s="87" t="n">
        <v>252.6981697</v>
      </c>
      <c r="E6" s="87" t="n">
        <f aca="false">D6-C6</f>
        <v>-0.51090210000001</v>
      </c>
      <c r="F6" s="51" t="s">
        <v>885</v>
      </c>
      <c r="G6" s="51" t="s">
        <v>886</v>
      </c>
      <c r="H6" s="51" t="s">
        <v>881</v>
      </c>
      <c r="I6" s="88"/>
      <c r="K6" s="51" t="str">
        <f aca="false">IF(J6=C6,"Bate","Não Bate")</f>
        <v>Não Bate</v>
      </c>
    </row>
    <row r="7" customFormat="false" ht="15.75" hidden="false" customHeight="false" outlineLevel="0" collapsed="false">
      <c r="A7" s="86" t="s">
        <v>887</v>
      </c>
      <c r="B7" s="86" t="s">
        <v>873</v>
      </c>
      <c r="C7" s="87" t="n">
        <v>6.87720257</v>
      </c>
      <c r="D7" s="87" t="n">
        <v>5.70537206</v>
      </c>
      <c r="E7" s="87" t="n">
        <f aca="false">D7-C7</f>
        <v>-1.17183051</v>
      </c>
      <c r="F7" s="51" t="s">
        <v>879</v>
      </c>
      <c r="G7" s="51" t="s">
        <v>880</v>
      </c>
      <c r="H7" s="51" t="s">
        <v>881</v>
      </c>
      <c r="I7" s="88"/>
      <c r="K7" s="51" t="str">
        <f aca="false">IF(J7=C7,"Bate","Não Bate")</f>
        <v>Não Bate</v>
      </c>
    </row>
    <row r="8" customFormat="false" ht="15.75" hidden="false" customHeight="false" outlineLevel="0" collapsed="false">
      <c r="A8" s="86" t="s">
        <v>887</v>
      </c>
      <c r="B8" s="86" t="s">
        <v>876</v>
      </c>
      <c r="C8" s="87" t="n">
        <v>8.43859643</v>
      </c>
      <c r="D8" s="86"/>
      <c r="E8" s="87" t="n">
        <f aca="false">D8-C8</f>
        <v>-8.43859643</v>
      </c>
      <c r="F8" s="51" t="s">
        <v>879</v>
      </c>
      <c r="G8" s="51" t="s">
        <v>880</v>
      </c>
      <c r="H8" s="51" t="s">
        <v>881</v>
      </c>
      <c r="I8" s="88"/>
      <c r="K8" s="51" t="str">
        <f aca="false">IF(J8=C8,"Bate","Não Bate")</f>
        <v>Não Bate</v>
      </c>
    </row>
    <row r="9" customFormat="false" ht="15.75" hidden="true" customHeight="false" outlineLevel="0" collapsed="false">
      <c r="A9" s="86" t="s">
        <v>888</v>
      </c>
      <c r="B9" s="86" t="s">
        <v>873</v>
      </c>
      <c r="C9" s="87" t="n">
        <v>10.01186614</v>
      </c>
      <c r="D9" s="87" t="n">
        <v>10.01189104</v>
      </c>
      <c r="E9" s="87" t="n">
        <f aca="false">D9-C9</f>
        <v>2.48999999996613E-005</v>
      </c>
      <c r="F9" s="51" t="s">
        <v>889</v>
      </c>
      <c r="G9" s="51"/>
      <c r="H9" s="51" t="s">
        <v>890</v>
      </c>
      <c r="I9" s="88" t="s">
        <v>891</v>
      </c>
      <c r="K9" s="51" t="str">
        <f aca="false">IF(J9=C9,"Bate","Não Bate")</f>
        <v>Não Bate</v>
      </c>
    </row>
    <row r="10" customFormat="false" ht="15.75" hidden="false" customHeight="false" outlineLevel="0" collapsed="false">
      <c r="A10" s="86" t="s">
        <v>892</v>
      </c>
      <c r="B10" s="86" t="s">
        <v>873</v>
      </c>
      <c r="C10" s="87" t="n">
        <v>0.00431579</v>
      </c>
      <c r="D10" s="87" t="n">
        <v>0.01136882</v>
      </c>
      <c r="E10" s="87" t="n">
        <f aca="false">D10-C10</f>
        <v>0.00705303</v>
      </c>
      <c r="F10" s="51" t="s">
        <v>885</v>
      </c>
      <c r="G10" s="51" t="s">
        <v>893</v>
      </c>
      <c r="H10" s="51" t="s">
        <v>881</v>
      </c>
      <c r="I10" s="88"/>
      <c r="K10" s="51" t="str">
        <f aca="false">IF(J10=C10,"Bate","Não Bate")</f>
        <v>Não Bate</v>
      </c>
    </row>
    <row r="11" customFormat="false" ht="15.75" hidden="false" customHeight="false" outlineLevel="0" collapsed="false">
      <c r="A11" s="86" t="s">
        <v>892</v>
      </c>
      <c r="B11" s="86" t="s">
        <v>883</v>
      </c>
      <c r="C11" s="87" t="n">
        <v>0.02780906</v>
      </c>
      <c r="D11" s="89" t="n">
        <v>0</v>
      </c>
      <c r="E11" s="87" t="n">
        <f aca="false">D11-C11</f>
        <v>-0.02780906</v>
      </c>
      <c r="F11" s="51" t="s">
        <v>885</v>
      </c>
      <c r="G11" s="51" t="s">
        <v>893</v>
      </c>
      <c r="H11" s="51" t="s">
        <v>881</v>
      </c>
      <c r="I11" s="88"/>
      <c r="K11" s="51" t="str">
        <f aca="false">IF(J11=C11,"Bate","Não Bate")</f>
        <v>Não Bate</v>
      </c>
    </row>
    <row r="12" customFormat="false" ht="15.75" hidden="false" customHeight="false" outlineLevel="0" collapsed="false">
      <c r="A12" s="86" t="s">
        <v>894</v>
      </c>
      <c r="B12" s="86" t="s">
        <v>883</v>
      </c>
      <c r="C12" s="87" t="n">
        <v>16.10986781</v>
      </c>
      <c r="D12" s="90" t="n">
        <v>17.4468255</v>
      </c>
      <c r="E12" s="87" t="n">
        <f aca="false">D12-C12</f>
        <v>1.33695769</v>
      </c>
      <c r="F12" s="51" t="s">
        <v>885</v>
      </c>
      <c r="G12" s="51" t="s">
        <v>895</v>
      </c>
      <c r="H12" s="51" t="s">
        <v>881</v>
      </c>
      <c r="I12" s="88"/>
      <c r="K12" s="51" t="str">
        <f aca="false">IF(J12=C12,"Bate","Não Bate")</f>
        <v>Não Bate</v>
      </c>
    </row>
    <row r="13" customFormat="false" ht="15.75" hidden="true" customHeight="false" outlineLevel="0" collapsed="false">
      <c r="A13" s="86" t="s">
        <v>404</v>
      </c>
      <c r="B13" s="86" t="s">
        <v>873</v>
      </c>
      <c r="C13" s="87" t="n">
        <v>13.10557229</v>
      </c>
      <c r="D13" s="91" t="n">
        <v>13.10557229</v>
      </c>
      <c r="E13" s="87" t="n">
        <f aca="false">D13-C13</f>
        <v>0</v>
      </c>
      <c r="F13" s="51" t="s">
        <v>896</v>
      </c>
      <c r="G13" s="51"/>
      <c r="H13" s="51" t="s">
        <v>890</v>
      </c>
      <c r="I13" s="88" t="s">
        <v>891</v>
      </c>
      <c r="J13" s="51" t="n">
        <v>13.10557229</v>
      </c>
      <c r="K13" s="51" t="str">
        <f aca="false">IF(J13=C13,"Bate","Não Bate")</f>
        <v>Bate</v>
      </c>
      <c r="L13" s="51" t="s">
        <v>897</v>
      </c>
    </row>
    <row r="14" customFormat="false" ht="15.75" hidden="true" customHeight="false" outlineLevel="0" collapsed="false">
      <c r="A14" s="86" t="s">
        <v>898</v>
      </c>
      <c r="B14" s="86" t="s">
        <v>873</v>
      </c>
      <c r="C14" s="87" t="n">
        <v>10.30669081</v>
      </c>
      <c r="D14" s="87" t="n">
        <v>10.30669081</v>
      </c>
      <c r="E14" s="87" t="n">
        <f aca="false">D14-C14</f>
        <v>0</v>
      </c>
      <c r="F14" s="51" t="s">
        <v>896</v>
      </c>
      <c r="G14" s="51"/>
      <c r="H14" s="51" t="s">
        <v>890</v>
      </c>
      <c r="I14" s="88" t="s">
        <v>891</v>
      </c>
      <c r="J14" s="51" t="n">
        <v>10.30669081</v>
      </c>
      <c r="K14" s="51" t="str">
        <f aca="false">IF(J14=C14,"Bate","Não Bate")</f>
        <v>Bate</v>
      </c>
      <c r="L14" s="51" t="s">
        <v>899</v>
      </c>
    </row>
    <row r="15" customFormat="false" ht="15.75" hidden="true" customHeight="false" outlineLevel="0" collapsed="false">
      <c r="A15" s="86" t="s">
        <v>406</v>
      </c>
      <c r="B15" s="86" t="s">
        <v>873</v>
      </c>
      <c r="C15" s="87" t="n">
        <v>13.25787815</v>
      </c>
      <c r="D15" s="87" t="n">
        <v>13.25787815</v>
      </c>
      <c r="E15" s="87" t="n">
        <f aca="false">D15-C15</f>
        <v>0</v>
      </c>
      <c r="F15" s="51" t="s">
        <v>896</v>
      </c>
      <c r="G15" s="51"/>
      <c r="H15" s="51" t="s">
        <v>890</v>
      </c>
      <c r="I15" s="88" t="s">
        <v>891</v>
      </c>
      <c r="J15" s="51" t="n">
        <v>13.25787815</v>
      </c>
      <c r="K15" s="51" t="str">
        <f aca="false">IF(J15=C15,"Bate","Não Bate")</f>
        <v>Bate</v>
      </c>
      <c r="L15" s="51" t="s">
        <v>897</v>
      </c>
    </row>
    <row r="16" customFormat="false" ht="15.75" hidden="true" customHeight="false" outlineLevel="0" collapsed="false">
      <c r="A16" s="86" t="s">
        <v>900</v>
      </c>
      <c r="B16" s="86" t="s">
        <v>873</v>
      </c>
      <c r="C16" s="87" t="n">
        <v>13.24959712</v>
      </c>
      <c r="D16" s="87" t="n">
        <v>13.24959712</v>
      </c>
      <c r="E16" s="87" t="n">
        <f aca="false">D16-C16</f>
        <v>0</v>
      </c>
      <c r="F16" s="51" t="s">
        <v>896</v>
      </c>
      <c r="G16" s="51"/>
      <c r="H16" s="51" t="s">
        <v>890</v>
      </c>
      <c r="I16" s="88" t="s">
        <v>891</v>
      </c>
      <c r="J16" s="51" t="n">
        <v>13.24959712</v>
      </c>
      <c r="K16" s="51" t="str">
        <f aca="false">IF(J16=C16,"Bate","Não Bate")</f>
        <v>Bate</v>
      </c>
      <c r="L16" s="51" t="s">
        <v>897</v>
      </c>
    </row>
    <row r="17" customFormat="false" ht="15.75" hidden="true" customHeight="false" outlineLevel="0" collapsed="false">
      <c r="A17" s="86" t="s">
        <v>901</v>
      </c>
      <c r="B17" s="86" t="s">
        <v>873</v>
      </c>
      <c r="C17" s="87" t="n">
        <v>10.99167963</v>
      </c>
      <c r="D17" s="87" t="n">
        <v>10.99167963</v>
      </c>
      <c r="E17" s="87" t="n">
        <f aca="false">D17-C17</f>
        <v>0</v>
      </c>
      <c r="F17" s="51" t="s">
        <v>896</v>
      </c>
      <c r="G17" s="51"/>
      <c r="H17" s="51" t="s">
        <v>890</v>
      </c>
      <c r="I17" s="88" t="s">
        <v>891</v>
      </c>
      <c r="J17" s="92" t="n">
        <v>10.9916796260826</v>
      </c>
      <c r="K17" s="51" t="s">
        <v>902</v>
      </c>
      <c r="L17" s="51" t="s">
        <v>899</v>
      </c>
    </row>
    <row r="18" customFormat="false" ht="15.75" hidden="true" customHeight="false" outlineLevel="0" collapsed="false">
      <c r="A18" s="86" t="s">
        <v>459</v>
      </c>
      <c r="B18" s="86" t="s">
        <v>873</v>
      </c>
      <c r="C18" s="87" t="n">
        <v>13.513776</v>
      </c>
      <c r="D18" s="87" t="n">
        <v>13.513776</v>
      </c>
      <c r="E18" s="87" t="n">
        <f aca="false">D18-C18</f>
        <v>0</v>
      </c>
      <c r="F18" s="51" t="s">
        <v>896</v>
      </c>
      <c r="G18" s="51"/>
      <c r="H18" s="51" t="s">
        <v>890</v>
      </c>
      <c r="I18" s="88" t="s">
        <v>891</v>
      </c>
      <c r="J18" s="51" t="n">
        <v>13.513776</v>
      </c>
      <c r="K18" s="51" t="str">
        <f aca="false">IF(J18=C18,"Bate","Não Bate")</f>
        <v>Bate</v>
      </c>
      <c r="L18" s="51" t="s">
        <v>897</v>
      </c>
    </row>
    <row r="19" customFormat="false" ht="15.75" hidden="true" customHeight="false" outlineLevel="0" collapsed="false">
      <c r="A19" s="86" t="s">
        <v>445</v>
      </c>
      <c r="B19" s="86" t="s">
        <v>873</v>
      </c>
      <c r="C19" s="87" t="n">
        <v>7.35965811</v>
      </c>
      <c r="D19" s="93" t="n">
        <v>7.35965811</v>
      </c>
      <c r="E19" s="87" t="n">
        <f aca="false">D19-C19</f>
        <v>0</v>
      </c>
      <c r="F19" s="51" t="s">
        <v>896</v>
      </c>
      <c r="G19" s="51"/>
      <c r="H19" s="51" t="s">
        <v>890</v>
      </c>
      <c r="I19" s="88" t="s">
        <v>891</v>
      </c>
      <c r="J19" s="92" t="n">
        <v>9.81287748339945</v>
      </c>
      <c r="K19" s="51" t="s">
        <v>902</v>
      </c>
      <c r="L19" s="51" t="s">
        <v>903</v>
      </c>
      <c r="M19" s="51" t="s">
        <v>904</v>
      </c>
    </row>
    <row r="20" customFormat="false" ht="15.75" hidden="true" customHeight="false" outlineLevel="0" collapsed="false">
      <c r="A20" s="86" t="s">
        <v>510</v>
      </c>
      <c r="B20" s="86" t="s">
        <v>873</v>
      </c>
      <c r="C20" s="87" t="n">
        <v>6.72230786</v>
      </c>
      <c r="D20" s="93" t="n">
        <v>6.722307863</v>
      </c>
      <c r="E20" s="87" t="n">
        <f aca="false">D20-C20</f>
        <v>3.00000024822111E-009</v>
      </c>
      <c r="F20" s="51" t="s">
        <v>896</v>
      </c>
      <c r="G20" s="51"/>
      <c r="H20" s="51" t="s">
        <v>890</v>
      </c>
      <c r="I20" s="88" t="s">
        <v>891</v>
      </c>
      <c r="J20" s="51" t="n">
        <v>6.72230786</v>
      </c>
      <c r="K20" s="51" t="s">
        <v>902</v>
      </c>
      <c r="L20" s="51" t="s">
        <v>905</v>
      </c>
      <c r="M20" s="51" t="s">
        <v>904</v>
      </c>
    </row>
    <row r="21" customFormat="false" ht="15.75" hidden="true" customHeight="false" outlineLevel="0" collapsed="false">
      <c r="A21" s="86" t="s">
        <v>463</v>
      </c>
      <c r="B21" s="86" t="s">
        <v>873</v>
      </c>
      <c r="C21" s="87" t="n">
        <v>15.50507092</v>
      </c>
      <c r="D21" s="93" t="n">
        <v>15.505070918</v>
      </c>
      <c r="E21" s="87" t="n">
        <f aca="false">D21-C21</f>
        <v>-2.00000016548074E-009</v>
      </c>
      <c r="F21" s="51" t="s">
        <v>896</v>
      </c>
      <c r="G21" s="51"/>
      <c r="H21" s="51" t="s">
        <v>890</v>
      </c>
      <c r="I21" s="88" t="s">
        <v>891</v>
      </c>
      <c r="J21" s="92" t="n">
        <v>16.9120918622</v>
      </c>
      <c r="K21" s="51" t="s">
        <v>902</v>
      </c>
      <c r="L21" s="51" t="s">
        <v>906</v>
      </c>
      <c r="M21" s="51" t="s">
        <v>904</v>
      </c>
    </row>
    <row r="22" customFormat="false" ht="15.75" hidden="true" customHeight="false" outlineLevel="0" collapsed="false">
      <c r="A22" s="86" t="s">
        <v>907</v>
      </c>
      <c r="B22" s="86" t="s">
        <v>908</v>
      </c>
      <c r="C22" s="87" t="n">
        <v>20.47091046</v>
      </c>
      <c r="D22" s="87" t="n">
        <v>20.47091045</v>
      </c>
      <c r="E22" s="87" t="n">
        <f aca="false">D22-C22</f>
        <v>-9.99999727469003E-009</v>
      </c>
      <c r="F22" s="51" t="s">
        <v>896</v>
      </c>
      <c r="G22" s="51"/>
      <c r="H22" s="51" t="s">
        <v>890</v>
      </c>
      <c r="I22" s="88" t="s">
        <v>891</v>
      </c>
      <c r="J22" s="92" t="n">
        <v>20.4709104552202</v>
      </c>
      <c r="K22" s="51" t="s">
        <v>902</v>
      </c>
      <c r="L22" s="51" t="s">
        <v>906</v>
      </c>
    </row>
    <row r="23" customFormat="false" ht="15.75" hidden="true" customHeight="false" outlineLevel="0" collapsed="false">
      <c r="A23" s="86" t="s">
        <v>909</v>
      </c>
      <c r="B23" s="86" t="s">
        <v>873</v>
      </c>
      <c r="C23" s="87" t="n">
        <v>9.72265388</v>
      </c>
      <c r="D23" s="89" t="n">
        <v>13.24235946</v>
      </c>
      <c r="E23" s="87" t="n">
        <f aca="false">D23-C23</f>
        <v>3.51970558</v>
      </c>
      <c r="F23" s="51" t="s">
        <v>896</v>
      </c>
      <c r="G23" s="51" t="s">
        <v>910</v>
      </c>
      <c r="H23" s="51" t="s">
        <v>890</v>
      </c>
      <c r="I23" s="88" t="s">
        <v>874</v>
      </c>
      <c r="K23" s="51" t="s">
        <v>911</v>
      </c>
      <c r="L23" s="51" t="s">
        <v>912</v>
      </c>
      <c r="M23" s="51" t="s">
        <v>913</v>
      </c>
    </row>
    <row r="24" customFormat="false" ht="15.75" hidden="true" customHeight="false" outlineLevel="0" collapsed="false">
      <c r="A24" s="86" t="s">
        <v>909</v>
      </c>
      <c r="B24" s="86" t="s">
        <v>876</v>
      </c>
      <c r="C24" s="87" t="n">
        <v>73.73792166</v>
      </c>
      <c r="D24" s="90" t="n">
        <v>0</v>
      </c>
      <c r="E24" s="87" t="n">
        <f aca="false">D24-C24</f>
        <v>-73.73792166</v>
      </c>
      <c r="F24" s="51" t="s">
        <v>896</v>
      </c>
      <c r="G24" s="51" t="s">
        <v>910</v>
      </c>
      <c r="H24" s="51" t="s">
        <v>890</v>
      </c>
      <c r="I24" s="88" t="s">
        <v>874</v>
      </c>
      <c r="K24" s="51" t="s">
        <v>911</v>
      </c>
      <c r="L24" s="51" t="s">
        <v>912</v>
      </c>
      <c r="M24" s="51" t="s">
        <v>913</v>
      </c>
    </row>
    <row r="25" customFormat="false" ht="15.75" hidden="true" customHeight="false" outlineLevel="0" collapsed="false">
      <c r="A25" s="86" t="s">
        <v>914</v>
      </c>
      <c r="B25" s="86" t="s">
        <v>873</v>
      </c>
      <c r="C25" s="87" t="n">
        <v>19.60780195</v>
      </c>
      <c r="D25" s="87" t="n">
        <v>20.01647196</v>
      </c>
      <c r="E25" s="87" t="n">
        <f aca="false">D25-C25</f>
        <v>0.408670010000002</v>
      </c>
      <c r="F25" s="51" t="s">
        <v>896</v>
      </c>
      <c r="G25" s="51" t="s">
        <v>910</v>
      </c>
      <c r="H25" s="51" t="s">
        <v>890</v>
      </c>
      <c r="I25" s="88"/>
      <c r="K25" s="51" t="s">
        <v>915</v>
      </c>
      <c r="L25" s="51" t="s">
        <v>912</v>
      </c>
    </row>
    <row r="26" customFormat="false" ht="15.75" hidden="false" customHeight="false" outlineLevel="0" collapsed="false">
      <c r="A26" s="86" t="s">
        <v>916</v>
      </c>
      <c r="B26" s="86" t="s">
        <v>873</v>
      </c>
      <c r="C26" s="87" t="n">
        <v>0.00970828</v>
      </c>
      <c r="D26" s="87" t="n">
        <v>0.01089261</v>
      </c>
      <c r="E26" s="87" t="n">
        <f aca="false">D26-C26</f>
        <v>0.00118433</v>
      </c>
      <c r="F26" s="51" t="s">
        <v>885</v>
      </c>
      <c r="G26" s="51" t="s">
        <v>917</v>
      </c>
      <c r="H26" s="51" t="s">
        <v>881</v>
      </c>
      <c r="I26" s="88"/>
      <c r="K26" s="51" t="s">
        <v>915</v>
      </c>
    </row>
    <row r="27" customFormat="false" ht="15.75" hidden="false" customHeight="false" outlineLevel="0" collapsed="false">
      <c r="A27" s="86" t="s">
        <v>918</v>
      </c>
      <c r="B27" s="86" t="s">
        <v>873</v>
      </c>
      <c r="C27" s="87" t="n">
        <v>0.01483716</v>
      </c>
      <c r="D27" s="87" t="n">
        <v>0.01612347</v>
      </c>
      <c r="E27" s="87" t="n">
        <f aca="false">D27-C27</f>
        <v>0.00128631</v>
      </c>
      <c r="F27" s="51" t="s">
        <v>885</v>
      </c>
      <c r="G27" s="51" t="s">
        <v>917</v>
      </c>
      <c r="H27" s="51" t="s">
        <v>881</v>
      </c>
      <c r="I27" s="88"/>
      <c r="K27" s="51" t="s">
        <v>915</v>
      </c>
    </row>
    <row r="28" customFormat="false" ht="15.75" hidden="true" customHeight="false" outlineLevel="0" collapsed="false">
      <c r="A28" s="86" t="s">
        <v>919</v>
      </c>
      <c r="B28" s="86" t="s">
        <v>908</v>
      </c>
      <c r="C28" s="87" t="n">
        <v>13.41691498</v>
      </c>
      <c r="D28" s="89" t="n">
        <v>13.41691498</v>
      </c>
      <c r="E28" s="87" t="n">
        <f aca="false">D28-C28</f>
        <v>0</v>
      </c>
      <c r="F28" s="51" t="s">
        <v>920</v>
      </c>
      <c r="G28" s="51"/>
      <c r="H28" s="51" t="s">
        <v>890</v>
      </c>
      <c r="I28" s="88" t="s">
        <v>891</v>
      </c>
      <c r="J28" s="51" t="n">
        <v>13.41691498</v>
      </c>
      <c r="K28" s="51" t="s">
        <v>902</v>
      </c>
      <c r="L28" s="51" t="s">
        <v>921</v>
      </c>
    </row>
    <row r="29" customFormat="false" ht="15.75" hidden="false" customHeight="false" outlineLevel="0" collapsed="false">
      <c r="A29" s="86" t="s">
        <v>922</v>
      </c>
      <c r="B29" s="86" t="s">
        <v>873</v>
      </c>
      <c r="C29" s="87" t="n">
        <v>7.23369093</v>
      </c>
      <c r="D29" s="93" t="n">
        <v>7.233703469</v>
      </c>
      <c r="E29" s="87" t="n">
        <f aca="false">D29-C29</f>
        <v>1.25390000000891E-005</v>
      </c>
      <c r="F29" s="51" t="s">
        <v>923</v>
      </c>
      <c r="G29" s="51" t="s">
        <v>924</v>
      </c>
      <c r="H29" s="51" t="s">
        <v>890</v>
      </c>
      <c r="I29" s="88" t="s">
        <v>891</v>
      </c>
      <c r="J29" s="51" t="n">
        <v>7.23369093</v>
      </c>
      <c r="K29" s="51" t="s">
        <v>902</v>
      </c>
    </row>
    <row r="30" customFormat="false" ht="15.75" hidden="false" customHeight="false" outlineLevel="0" collapsed="false">
      <c r="A30" s="86" t="s">
        <v>492</v>
      </c>
      <c r="B30" s="86" t="s">
        <v>873</v>
      </c>
      <c r="C30" s="87" t="n">
        <v>6.68078955</v>
      </c>
      <c r="D30" s="87" t="n">
        <v>6.68828557</v>
      </c>
      <c r="E30" s="87" t="n">
        <f aca="false">D30-C30</f>
        <v>0.0074960199999996</v>
      </c>
      <c r="F30" s="51" t="s">
        <v>923</v>
      </c>
      <c r="G30" s="51"/>
      <c r="H30" s="51" t="s">
        <v>711</v>
      </c>
      <c r="I30" s="88" t="s">
        <v>874</v>
      </c>
      <c r="K30" s="51" t="s">
        <v>915</v>
      </c>
    </row>
    <row r="31" customFormat="false" ht="15.75" hidden="true" customHeight="false" outlineLevel="0" collapsed="false">
      <c r="A31" s="86" t="s">
        <v>421</v>
      </c>
      <c r="B31" s="86" t="s">
        <v>873</v>
      </c>
      <c r="C31" s="87" t="n">
        <v>6.13282178</v>
      </c>
      <c r="D31" s="87" t="n">
        <v>6.13281994</v>
      </c>
      <c r="E31" s="87" t="n">
        <f aca="false">D31-C31</f>
        <v>-1.83999999947559E-006</v>
      </c>
      <c r="F31" s="51" t="s">
        <v>925</v>
      </c>
      <c r="G31" s="51"/>
      <c r="H31" s="51" t="s">
        <v>890</v>
      </c>
      <c r="I31" s="88" t="s">
        <v>891</v>
      </c>
      <c r="J31" s="51" t="n">
        <v>6.13282178</v>
      </c>
      <c r="K31" s="51" t="s">
        <v>902</v>
      </c>
      <c r="L31" s="51" t="s">
        <v>906</v>
      </c>
    </row>
    <row r="32" customFormat="false" ht="15.75" hidden="true" customHeight="false" outlineLevel="0" collapsed="false">
      <c r="A32" s="86" t="s">
        <v>926</v>
      </c>
      <c r="B32" s="86" t="s">
        <v>908</v>
      </c>
      <c r="C32" s="87" t="n">
        <v>0.00184604</v>
      </c>
      <c r="D32" s="87" t="n">
        <v>0.001846037</v>
      </c>
      <c r="E32" s="87" t="n">
        <f aca="false">D32-C32</f>
        <v>-2.99999999993882E-009</v>
      </c>
      <c r="F32" s="51" t="s">
        <v>927</v>
      </c>
      <c r="G32" s="51"/>
      <c r="H32" s="51" t="s">
        <v>890</v>
      </c>
      <c r="I32" s="88" t="s">
        <v>891</v>
      </c>
      <c r="J32" s="51" t="n">
        <v>0.001846037</v>
      </c>
      <c r="K32" s="51" t="s">
        <v>902</v>
      </c>
      <c r="L32" s="51" t="s">
        <v>928</v>
      </c>
    </row>
    <row r="33" customFormat="false" ht="15.75" hidden="true" customHeight="false" outlineLevel="0" collapsed="false">
      <c r="A33" s="86" t="s">
        <v>926</v>
      </c>
      <c r="B33" s="86" t="s">
        <v>929</v>
      </c>
      <c r="C33" s="87" t="n">
        <v>0.00908742</v>
      </c>
      <c r="D33" s="87" t="n">
        <v>0.009087423</v>
      </c>
      <c r="E33" s="87" t="n">
        <f aca="false">D33-C33</f>
        <v>3.00000000015566E-009</v>
      </c>
      <c r="F33" s="51" t="s">
        <v>927</v>
      </c>
      <c r="G33" s="51"/>
      <c r="H33" s="51" t="s">
        <v>890</v>
      </c>
      <c r="I33" s="88" t="s">
        <v>891</v>
      </c>
      <c r="J33" s="51" t="n">
        <v>0.009087423</v>
      </c>
      <c r="K33" s="51" t="s">
        <v>902</v>
      </c>
      <c r="L33" s="51" t="s">
        <v>928</v>
      </c>
    </row>
    <row r="34" customFormat="false" ht="15.75" hidden="true" customHeight="false" outlineLevel="0" collapsed="false">
      <c r="A34" s="86" t="s">
        <v>347</v>
      </c>
      <c r="B34" s="86" t="s">
        <v>929</v>
      </c>
      <c r="C34" s="87" t="n">
        <v>0.004351</v>
      </c>
      <c r="D34" s="87" t="n">
        <v>0.004350904</v>
      </c>
      <c r="E34" s="87" t="n">
        <f aca="false">D34-C34</f>
        <v>-9.59999999997768E-008</v>
      </c>
      <c r="F34" s="51" t="s">
        <v>927</v>
      </c>
      <c r="G34" s="51"/>
      <c r="H34" s="51" t="s">
        <v>890</v>
      </c>
      <c r="I34" s="88" t="s">
        <v>891</v>
      </c>
      <c r="J34" s="51" t="n">
        <v>0.004350904</v>
      </c>
      <c r="K34" s="51" t="s">
        <v>902</v>
      </c>
      <c r="L34" s="51" t="s">
        <v>930</v>
      </c>
    </row>
    <row r="35" customFormat="false" ht="15.75" hidden="false" customHeight="false" outlineLevel="0" collapsed="false">
      <c r="A35" s="86" t="s">
        <v>931</v>
      </c>
      <c r="B35" s="86" t="s">
        <v>929</v>
      </c>
      <c r="C35" s="87" t="n">
        <v>5.05039386</v>
      </c>
      <c r="D35" s="89" t="s">
        <v>878</v>
      </c>
      <c r="E35" s="87" t="e">
        <f aca="false">D35-C35</f>
        <v>#VALUE!</v>
      </c>
      <c r="F35" s="51" t="s">
        <v>932</v>
      </c>
      <c r="G35" s="51"/>
      <c r="H35" s="51" t="s">
        <v>711</v>
      </c>
      <c r="I35" s="88"/>
      <c r="K35" s="51" t="s">
        <v>915</v>
      </c>
      <c r="L35" s="51" t="s">
        <v>933</v>
      </c>
    </row>
    <row r="36" customFormat="false" ht="15.75" hidden="false" customHeight="false" outlineLevel="0" collapsed="false">
      <c r="A36" s="86" t="s">
        <v>931</v>
      </c>
      <c r="B36" s="86" t="s">
        <v>883</v>
      </c>
      <c r="C36" s="87" t="n">
        <v>25.79663327</v>
      </c>
      <c r="D36" s="89" t="s">
        <v>878</v>
      </c>
      <c r="E36" s="87" t="e">
        <f aca="false">D36-C36</f>
        <v>#VALUE!</v>
      </c>
      <c r="F36" s="51" t="s">
        <v>932</v>
      </c>
      <c r="G36" s="51"/>
      <c r="H36" s="51" t="s">
        <v>711</v>
      </c>
      <c r="I36" s="88"/>
      <c r="K36" s="51" t="s">
        <v>915</v>
      </c>
      <c r="L36" s="51" t="s">
        <v>933</v>
      </c>
    </row>
    <row r="37" customFormat="false" ht="15.75" hidden="false" customHeight="false" outlineLevel="0" collapsed="false">
      <c r="A37" s="86" t="s">
        <v>934</v>
      </c>
      <c r="B37" s="86" t="s">
        <v>873</v>
      </c>
      <c r="C37" s="87" t="n">
        <v>9.11292134</v>
      </c>
      <c r="D37" s="89" t="s">
        <v>878</v>
      </c>
      <c r="E37" s="87" t="e">
        <f aca="false">D37-C37</f>
        <v>#VALUE!</v>
      </c>
      <c r="F37" s="94" t="s">
        <v>935</v>
      </c>
      <c r="G37" s="94"/>
      <c r="H37" s="51" t="s">
        <v>890</v>
      </c>
      <c r="I37" s="88" t="s">
        <v>891</v>
      </c>
      <c r="K37" s="51" t="s">
        <v>915</v>
      </c>
      <c r="L37" s="51" t="s">
        <v>936</v>
      </c>
    </row>
    <row r="38" customFormat="false" ht="15.75" hidden="false" customHeight="false" outlineLevel="0" collapsed="false">
      <c r="A38" s="86" t="s">
        <v>937</v>
      </c>
      <c r="B38" s="86" t="s">
        <v>873</v>
      </c>
      <c r="C38" s="87" t="n">
        <v>6.13261547</v>
      </c>
      <c r="D38" s="87" t="n">
        <v>9.22150281</v>
      </c>
      <c r="E38" s="87" t="n">
        <f aca="false">D38-C38</f>
        <v>3.08888734</v>
      </c>
      <c r="F38" s="51" t="s">
        <v>885</v>
      </c>
      <c r="G38" s="51" t="s">
        <v>938</v>
      </c>
      <c r="H38" s="51" t="s">
        <v>881</v>
      </c>
      <c r="I38" s="88"/>
      <c r="K38" s="51" t="s">
        <v>915</v>
      </c>
    </row>
    <row r="39" customFormat="false" ht="15.75" hidden="false" customHeight="false" outlineLevel="0" collapsed="false">
      <c r="A39" s="86" t="s">
        <v>937</v>
      </c>
      <c r="B39" s="86" t="s">
        <v>876</v>
      </c>
      <c r="C39" s="87" t="n">
        <v>4.95254377</v>
      </c>
      <c r="D39" s="87" t="n">
        <v>9.842703967</v>
      </c>
      <c r="E39" s="87" t="n">
        <f aca="false">D39-C39</f>
        <v>4.890160197</v>
      </c>
      <c r="F39" s="51" t="s">
        <v>885</v>
      </c>
      <c r="G39" s="51" t="s">
        <v>938</v>
      </c>
      <c r="H39" s="51" t="s">
        <v>881</v>
      </c>
      <c r="I39" s="88"/>
      <c r="K39" s="51" t="s">
        <v>915</v>
      </c>
    </row>
    <row r="40" customFormat="false" ht="15.75" hidden="true" customHeight="false" outlineLevel="0" collapsed="false">
      <c r="A40" s="86" t="s">
        <v>939</v>
      </c>
      <c r="B40" s="86" t="s">
        <v>929</v>
      </c>
      <c r="C40" s="87" t="n">
        <v>7.89777699</v>
      </c>
      <c r="D40" s="89" t="n">
        <v>7.897777</v>
      </c>
      <c r="E40" s="87" t="n">
        <f aca="false">D40-C40</f>
        <v>9.99999993922529E-009</v>
      </c>
      <c r="F40" s="51" t="s">
        <v>940</v>
      </c>
      <c r="G40" s="51"/>
      <c r="H40" s="51" t="s">
        <v>890</v>
      </c>
      <c r="I40" s="88" t="s">
        <v>891</v>
      </c>
      <c r="J40" s="51" t="n">
        <v>7.897777</v>
      </c>
      <c r="K40" s="51" t="s">
        <v>902</v>
      </c>
    </row>
    <row r="41" customFormat="false" ht="15.75" hidden="true" customHeight="false" outlineLevel="0" collapsed="false">
      <c r="A41" s="86" t="s">
        <v>941</v>
      </c>
      <c r="B41" s="86" t="s">
        <v>908</v>
      </c>
      <c r="C41" s="87" t="n">
        <v>8.78966545</v>
      </c>
      <c r="D41" s="89" t="s">
        <v>878</v>
      </c>
      <c r="E41" s="87" t="e">
        <f aca="false">D41-C41</f>
        <v>#VALUE!</v>
      </c>
      <c r="F41" s="51" t="s">
        <v>942</v>
      </c>
      <c r="G41" s="51"/>
      <c r="H41" s="51" t="s">
        <v>943</v>
      </c>
      <c r="I41" s="88"/>
      <c r="K41" s="51" t="s">
        <v>915</v>
      </c>
    </row>
    <row r="42" customFormat="false" ht="15.75" hidden="true" customHeight="false" outlineLevel="0" collapsed="false">
      <c r="A42" s="86" t="s">
        <v>944</v>
      </c>
      <c r="B42" s="86" t="s">
        <v>908</v>
      </c>
      <c r="C42" s="87" t="n">
        <v>9.47665484</v>
      </c>
      <c r="D42" s="89" t="s">
        <v>878</v>
      </c>
      <c r="E42" s="87" t="e">
        <f aca="false">D42-C42</f>
        <v>#VALUE!</v>
      </c>
      <c r="F42" s="51" t="s">
        <v>945</v>
      </c>
      <c r="G42" s="51"/>
      <c r="H42" s="51" t="s">
        <v>943</v>
      </c>
      <c r="I42" s="88"/>
      <c r="K42" s="51" t="s">
        <v>915</v>
      </c>
    </row>
    <row r="43" customFormat="false" ht="15.75" hidden="true" customHeight="false" outlineLevel="0" collapsed="false">
      <c r="A43" s="86" t="s">
        <v>946</v>
      </c>
      <c r="B43" s="86" t="s">
        <v>908</v>
      </c>
      <c r="C43" s="87" t="n">
        <v>9.61550098</v>
      </c>
      <c r="D43" s="89" t="s">
        <v>878</v>
      </c>
      <c r="E43" s="87" t="e">
        <f aca="false">D43-C43</f>
        <v>#VALUE!</v>
      </c>
      <c r="F43" s="51" t="s">
        <v>945</v>
      </c>
      <c r="G43" s="51"/>
      <c r="H43" s="51" t="s">
        <v>943</v>
      </c>
      <c r="I43" s="88"/>
      <c r="K43" s="51" t="s">
        <v>915</v>
      </c>
    </row>
    <row r="44" customFormat="false" ht="15.75" hidden="true" customHeight="false" outlineLevel="0" collapsed="false">
      <c r="A44" s="86" t="s">
        <v>947</v>
      </c>
      <c r="B44" s="86" t="s">
        <v>929</v>
      </c>
      <c r="C44" s="87" t="n">
        <v>0.01897605</v>
      </c>
      <c r="D44" s="87" t="n">
        <v>0.01897605</v>
      </c>
      <c r="E44" s="87" t="n">
        <f aca="false">D44-C44</f>
        <v>0</v>
      </c>
      <c r="F44" s="51" t="s">
        <v>948</v>
      </c>
      <c r="G44" s="51"/>
      <c r="H44" s="51" t="s">
        <v>890</v>
      </c>
      <c r="I44" s="88" t="s">
        <v>891</v>
      </c>
      <c r="J44" s="51" t="n">
        <v>0.01897605</v>
      </c>
      <c r="K44" s="51" t="s">
        <v>902</v>
      </c>
    </row>
    <row r="45" customFormat="false" ht="15.75" hidden="true" customHeight="false" outlineLevel="0" collapsed="false">
      <c r="A45" s="86" t="s">
        <v>346</v>
      </c>
      <c r="B45" s="86" t="s">
        <v>929</v>
      </c>
      <c r="C45" s="87" t="n">
        <v>0.01263374</v>
      </c>
      <c r="D45" s="87" t="n">
        <v>0.01263374</v>
      </c>
      <c r="E45" s="87" t="n">
        <f aca="false">D45-C45</f>
        <v>0</v>
      </c>
      <c r="F45" s="51" t="s">
        <v>948</v>
      </c>
      <c r="G45" s="51"/>
      <c r="H45" s="51" t="s">
        <v>890</v>
      </c>
      <c r="I45" s="88" t="s">
        <v>891</v>
      </c>
      <c r="J45" s="51" t="n">
        <v>0.01263373</v>
      </c>
      <c r="K45" s="51" t="s">
        <v>902</v>
      </c>
    </row>
    <row r="46" customFormat="false" ht="15.75" hidden="false" customHeight="false" outlineLevel="0" collapsed="false">
      <c r="A46" s="86" t="s">
        <v>949</v>
      </c>
      <c r="B46" s="86" t="s">
        <v>908</v>
      </c>
      <c r="C46" s="87" t="n">
        <v>10.50587545</v>
      </c>
      <c r="D46" s="89" t="s">
        <v>878</v>
      </c>
      <c r="E46" s="87" t="e">
        <f aca="false">D46-C46</f>
        <v>#VALUE!</v>
      </c>
      <c r="F46" s="51" t="s">
        <v>950</v>
      </c>
      <c r="G46" s="51"/>
      <c r="H46" s="51" t="s">
        <v>890</v>
      </c>
      <c r="I46" s="88" t="s">
        <v>891</v>
      </c>
      <c r="K46" s="51" t="s">
        <v>915</v>
      </c>
    </row>
    <row r="47" customFormat="false" ht="15.75" hidden="false" customHeight="false" outlineLevel="0" collapsed="false">
      <c r="A47" s="86" t="s">
        <v>951</v>
      </c>
      <c r="B47" s="86" t="s">
        <v>908</v>
      </c>
      <c r="C47" s="87" t="n">
        <v>13.4305363</v>
      </c>
      <c r="D47" s="89" t="s">
        <v>878</v>
      </c>
      <c r="E47" s="87" t="e">
        <f aca="false">D47-C47</f>
        <v>#VALUE!</v>
      </c>
      <c r="F47" s="51" t="s">
        <v>952</v>
      </c>
      <c r="G47" s="51"/>
      <c r="H47" s="51" t="s">
        <v>890</v>
      </c>
      <c r="I47" s="88" t="s">
        <v>891</v>
      </c>
      <c r="K47" s="51" t="s">
        <v>915</v>
      </c>
    </row>
    <row r="48" customFormat="false" ht="15.75" hidden="true" customHeight="false" outlineLevel="0" collapsed="false">
      <c r="A48" s="86" t="s">
        <v>953</v>
      </c>
      <c r="B48" s="86" t="s">
        <v>908</v>
      </c>
      <c r="C48" s="87" t="n">
        <v>13.32391589</v>
      </c>
      <c r="D48" s="87" t="n">
        <v>13.32391589</v>
      </c>
      <c r="E48" s="87" t="n">
        <f aca="false">D48-C48</f>
        <v>0</v>
      </c>
      <c r="F48" s="51" t="s">
        <v>954</v>
      </c>
      <c r="G48" s="51"/>
      <c r="H48" s="51" t="s">
        <v>890</v>
      </c>
      <c r="I48" s="88" t="s">
        <v>891</v>
      </c>
      <c r="J48" s="51" t="n">
        <v>13.32391589</v>
      </c>
      <c r="K48" s="51" t="s">
        <v>902</v>
      </c>
      <c r="L48" s="51" t="s">
        <v>955</v>
      </c>
    </row>
    <row r="49" customFormat="false" ht="15.75" hidden="false" customHeight="false" outlineLevel="0" collapsed="false">
      <c r="A49" s="86" t="s">
        <v>956</v>
      </c>
      <c r="B49" s="86" t="s">
        <v>873</v>
      </c>
      <c r="C49" s="87" t="n">
        <v>3.61070844</v>
      </c>
      <c r="D49" s="87" t="n">
        <v>3.58986775</v>
      </c>
      <c r="E49" s="87" t="n">
        <f aca="false">D49-C49</f>
        <v>-0.02084069</v>
      </c>
      <c r="F49" s="51" t="s">
        <v>885</v>
      </c>
      <c r="G49" s="51" t="s">
        <v>957</v>
      </c>
      <c r="H49" s="51" t="s">
        <v>881</v>
      </c>
      <c r="I49" s="88"/>
      <c r="K49" s="51" t="s">
        <v>915</v>
      </c>
    </row>
    <row r="50" customFormat="false" ht="15.75" hidden="false" customHeight="false" outlineLevel="0" collapsed="false">
      <c r="A50" s="86" t="s">
        <v>956</v>
      </c>
      <c r="B50" s="86" t="s">
        <v>883</v>
      </c>
      <c r="C50" s="87" t="n">
        <v>5.80794779</v>
      </c>
      <c r="D50" s="89" t="s">
        <v>878</v>
      </c>
      <c r="E50" s="87" t="e">
        <f aca="false">D50-C50</f>
        <v>#VALUE!</v>
      </c>
      <c r="F50" s="51" t="s">
        <v>885</v>
      </c>
      <c r="G50" s="51" t="s">
        <v>957</v>
      </c>
      <c r="H50" s="51" t="s">
        <v>881</v>
      </c>
      <c r="I50" s="88"/>
      <c r="K50" s="51" t="s">
        <v>915</v>
      </c>
    </row>
    <row r="51" customFormat="false" ht="15.75" hidden="true" customHeight="false" outlineLevel="0" collapsed="false">
      <c r="A51" s="86" t="s">
        <v>399</v>
      </c>
      <c r="B51" s="86" t="s">
        <v>929</v>
      </c>
      <c r="C51" s="87" t="n">
        <v>0.0179801</v>
      </c>
      <c r="D51" s="87" t="n">
        <v>0.0179801</v>
      </c>
      <c r="E51" s="87" t="n">
        <f aca="false">D51-C51</f>
        <v>0</v>
      </c>
      <c r="F51" s="51" t="s">
        <v>927</v>
      </c>
      <c r="G51" s="51"/>
      <c r="H51" s="51" t="s">
        <v>890</v>
      </c>
      <c r="I51" s="88" t="s">
        <v>891</v>
      </c>
      <c r="J51" s="51" t="n">
        <v>0.01798009</v>
      </c>
      <c r="K51" s="51" t="s">
        <v>902</v>
      </c>
      <c r="L51" s="51" t="s">
        <v>958</v>
      </c>
    </row>
    <row r="52" customFormat="false" ht="15.75" hidden="true" customHeight="false" outlineLevel="0" collapsed="false">
      <c r="A52" s="86" t="s">
        <v>397</v>
      </c>
      <c r="B52" s="86" t="s">
        <v>929</v>
      </c>
      <c r="C52" s="87" t="n">
        <v>0.01715867</v>
      </c>
      <c r="D52" s="87" t="n">
        <v>0.01715867</v>
      </c>
      <c r="E52" s="87" t="n">
        <f aca="false">D52-C52</f>
        <v>0</v>
      </c>
      <c r="F52" s="51" t="s">
        <v>927</v>
      </c>
      <c r="G52" s="51"/>
      <c r="H52" s="51" t="s">
        <v>890</v>
      </c>
      <c r="I52" s="88" t="s">
        <v>891</v>
      </c>
      <c r="J52" s="51" t="n">
        <v>0.01715867</v>
      </c>
      <c r="K52" s="51" t="s">
        <v>902</v>
      </c>
      <c r="L52" s="51" t="s">
        <v>906</v>
      </c>
    </row>
    <row r="53" customFormat="false" ht="15.75" hidden="true" customHeight="false" outlineLevel="0" collapsed="false">
      <c r="A53" s="86" t="s">
        <v>402</v>
      </c>
      <c r="B53" s="86" t="s">
        <v>929</v>
      </c>
      <c r="C53" s="87" t="n">
        <v>0.01690612</v>
      </c>
      <c r="D53" s="87" t="n">
        <v>0.016906109</v>
      </c>
      <c r="E53" s="87" t="n">
        <f aca="false">D53-C53</f>
        <v>-1.1000000001149E-008</v>
      </c>
      <c r="F53" s="51" t="s">
        <v>959</v>
      </c>
      <c r="G53" s="51"/>
      <c r="H53" s="51" t="s">
        <v>890</v>
      </c>
      <c r="I53" s="88" t="s">
        <v>891</v>
      </c>
      <c r="J53" s="51" t="n">
        <v>0.016906109</v>
      </c>
      <c r="K53" s="51" t="s">
        <v>902</v>
      </c>
      <c r="L53" s="51" t="s">
        <v>960</v>
      </c>
    </row>
    <row r="54" customFormat="false" ht="15.75" hidden="true" customHeight="false" outlineLevel="0" collapsed="false">
      <c r="A54" s="86" t="s">
        <v>961</v>
      </c>
      <c r="B54" s="86" t="s">
        <v>873</v>
      </c>
      <c r="C54" s="87" t="n">
        <v>20.46324442</v>
      </c>
      <c r="D54" s="87" t="n">
        <v>20.46324442</v>
      </c>
      <c r="E54" s="87" t="n">
        <f aca="false">D54-C54</f>
        <v>0</v>
      </c>
      <c r="F54" s="51" t="s">
        <v>962</v>
      </c>
      <c r="G54" s="51"/>
      <c r="H54" s="51" t="s">
        <v>890</v>
      </c>
      <c r="I54" s="88" t="s">
        <v>891</v>
      </c>
      <c r="J54" s="51" t="n">
        <v>20.46324442</v>
      </c>
      <c r="K54" s="51" t="s">
        <v>902</v>
      </c>
      <c r="L54" s="51" t="s">
        <v>963</v>
      </c>
    </row>
    <row r="55" customFormat="false" ht="15.75" hidden="true" customHeight="false" outlineLevel="0" collapsed="false">
      <c r="A55" s="86" t="s">
        <v>964</v>
      </c>
      <c r="B55" s="86" t="s">
        <v>873</v>
      </c>
      <c r="C55" s="87" t="n">
        <v>20.35804575</v>
      </c>
      <c r="D55" s="87" t="n">
        <v>20.35804563</v>
      </c>
      <c r="E55" s="87" t="n">
        <f aca="false">D55-C55</f>
        <v>-1.19999999270703E-007</v>
      </c>
      <c r="F55" s="51" t="s">
        <v>962</v>
      </c>
      <c r="G55" s="51"/>
      <c r="H55" s="51" t="s">
        <v>890</v>
      </c>
      <c r="I55" s="88" t="s">
        <v>891</v>
      </c>
      <c r="J55" s="87" t="n">
        <v>20.35804563</v>
      </c>
      <c r="K55" s="51" t="s">
        <v>902</v>
      </c>
      <c r="L55" s="51" t="s">
        <v>963</v>
      </c>
    </row>
    <row r="56" customFormat="false" ht="15.75" hidden="true" customHeight="false" outlineLevel="0" collapsed="false">
      <c r="A56" s="86" t="s">
        <v>413</v>
      </c>
      <c r="B56" s="86" t="s">
        <v>908</v>
      </c>
      <c r="C56" s="87" t="n">
        <v>16.15781247</v>
      </c>
      <c r="D56" s="87" t="n">
        <v>16.15781246</v>
      </c>
      <c r="E56" s="87" t="n">
        <f aca="false">D56-C56</f>
        <v>-1.00000008274037E-008</v>
      </c>
      <c r="F56" s="51" t="s">
        <v>959</v>
      </c>
      <c r="G56" s="51"/>
      <c r="H56" s="51" t="s">
        <v>890</v>
      </c>
      <c r="I56" s="88" t="s">
        <v>891</v>
      </c>
      <c r="J56" s="51" t="n">
        <v>16.15781246</v>
      </c>
      <c r="K56" s="51" t="s">
        <v>902</v>
      </c>
      <c r="L56" s="51" t="s">
        <v>963</v>
      </c>
    </row>
    <row r="57" customFormat="false" ht="15.75" hidden="false" customHeight="false" outlineLevel="0" collapsed="false">
      <c r="A57" s="86" t="s">
        <v>965</v>
      </c>
      <c r="B57" s="86" t="s">
        <v>908</v>
      </c>
      <c r="C57" s="87" t="n">
        <v>8.76570756</v>
      </c>
      <c r="D57" s="87" t="n">
        <v>8.77972778</v>
      </c>
      <c r="E57" s="87" t="n">
        <f aca="false">D57-C57</f>
        <v>0.0140202200000008</v>
      </c>
      <c r="F57" s="51" t="s">
        <v>966</v>
      </c>
      <c r="G57" s="51"/>
      <c r="H57" s="51" t="s">
        <v>711</v>
      </c>
      <c r="I57" s="88"/>
      <c r="K57" s="51" t="s">
        <v>915</v>
      </c>
    </row>
    <row r="58" customFormat="false" ht="15.75" hidden="false" customHeight="false" outlineLevel="0" collapsed="false">
      <c r="A58" s="86" t="s">
        <v>967</v>
      </c>
      <c r="B58" s="86" t="s">
        <v>908</v>
      </c>
      <c r="C58" s="87" t="n">
        <v>8.71633341</v>
      </c>
      <c r="D58" s="87" t="s">
        <v>878</v>
      </c>
      <c r="E58" s="87" t="e">
        <f aca="false">D58-C58</f>
        <v>#VALUE!</v>
      </c>
      <c r="F58" s="51" t="s">
        <v>968</v>
      </c>
      <c r="G58" s="51" t="s">
        <v>969</v>
      </c>
      <c r="H58" s="51" t="s">
        <v>881</v>
      </c>
      <c r="I58" s="88"/>
      <c r="K58" s="51" t="s">
        <v>915</v>
      </c>
    </row>
    <row r="59" customFormat="false" ht="15.75" hidden="false" customHeight="false" outlineLevel="0" collapsed="false">
      <c r="A59" s="86" t="s">
        <v>970</v>
      </c>
      <c r="B59" s="86" t="s">
        <v>873</v>
      </c>
      <c r="C59" s="87" t="n">
        <v>7.64865453</v>
      </c>
      <c r="D59" s="87" t="n">
        <v>6.9194213</v>
      </c>
      <c r="E59" s="87" t="n">
        <f aca="false">D59-C59</f>
        <v>-0.72923323</v>
      </c>
      <c r="F59" s="51" t="s">
        <v>968</v>
      </c>
      <c r="G59" s="51" t="s">
        <v>969</v>
      </c>
      <c r="H59" s="51" t="s">
        <v>881</v>
      </c>
      <c r="I59" s="88"/>
      <c r="K59" s="51" t="s">
        <v>915</v>
      </c>
    </row>
    <row r="60" customFormat="false" ht="15.75" hidden="false" customHeight="false" outlineLevel="0" collapsed="false">
      <c r="A60" s="86" t="s">
        <v>971</v>
      </c>
      <c r="B60" s="86" t="s">
        <v>873</v>
      </c>
      <c r="C60" s="87" t="n">
        <v>7.31065753</v>
      </c>
      <c r="D60" s="87" t="n">
        <v>6.76912697</v>
      </c>
      <c r="E60" s="87" t="n">
        <f aca="false">D60-C60</f>
        <v>-0.54153056</v>
      </c>
      <c r="F60" s="51" t="s">
        <v>968</v>
      </c>
      <c r="G60" s="51" t="s">
        <v>969</v>
      </c>
      <c r="H60" s="51" t="s">
        <v>881</v>
      </c>
      <c r="I60" s="88"/>
      <c r="K60" s="51" t="s">
        <v>915</v>
      </c>
    </row>
    <row r="61" customFormat="false" ht="15.75" hidden="false" customHeight="false" outlineLevel="0" collapsed="false">
      <c r="A61" s="86" t="s">
        <v>972</v>
      </c>
      <c r="B61" s="86" t="s">
        <v>873</v>
      </c>
      <c r="C61" s="87" t="n">
        <v>7.25593727</v>
      </c>
      <c r="D61" s="87" t="n">
        <v>6.75549458</v>
      </c>
      <c r="E61" s="87" t="n">
        <f aca="false">D61-C61</f>
        <v>-0.500442690000001</v>
      </c>
      <c r="F61" s="51" t="s">
        <v>968</v>
      </c>
      <c r="G61" s="51" t="s">
        <v>969</v>
      </c>
      <c r="H61" s="51" t="s">
        <v>881</v>
      </c>
      <c r="I61" s="88"/>
      <c r="K61" s="51" t="s">
        <v>915</v>
      </c>
    </row>
    <row r="62" customFormat="false" ht="15.75" hidden="false" customHeight="false" outlineLevel="0" collapsed="false">
      <c r="A62" s="86" t="s">
        <v>973</v>
      </c>
      <c r="B62" s="86" t="s">
        <v>929</v>
      </c>
      <c r="C62" s="87" t="n">
        <v>0.00115825</v>
      </c>
      <c r="D62" s="87" t="n">
        <v>-4.5103E-017</v>
      </c>
      <c r="E62" s="87" t="n">
        <f aca="false">D62-C62</f>
        <v>-0.00115825000000005</v>
      </c>
      <c r="H62" s="51" t="s">
        <v>711</v>
      </c>
      <c r="I62" s="88" t="s">
        <v>874</v>
      </c>
      <c r="K62" s="51" t="s">
        <v>915</v>
      </c>
      <c r="L62" s="51" t="s">
        <v>974</v>
      </c>
    </row>
    <row r="63" customFormat="false" ht="15.75" hidden="false" customHeight="false" outlineLevel="0" collapsed="false">
      <c r="A63" s="86" t="s">
        <v>975</v>
      </c>
      <c r="B63" s="86" t="s">
        <v>929</v>
      </c>
      <c r="C63" s="87" t="n">
        <v>0.00207327</v>
      </c>
      <c r="D63" s="87" t="n">
        <v>0</v>
      </c>
      <c r="E63" s="87" t="n">
        <f aca="false">D63-C63</f>
        <v>-0.00207327</v>
      </c>
      <c r="H63" s="51" t="s">
        <v>711</v>
      </c>
      <c r="I63" s="88" t="s">
        <v>874</v>
      </c>
      <c r="J63" s="11" t="n">
        <v>0.0020732693608958</v>
      </c>
      <c r="K63" s="51" t="s">
        <v>902</v>
      </c>
      <c r="L63" s="51" t="s">
        <v>976</v>
      </c>
    </row>
    <row r="64" customFormat="false" ht="15.75" hidden="false" customHeight="false" outlineLevel="0" collapsed="false">
      <c r="A64" s="86" t="s">
        <v>466</v>
      </c>
      <c r="B64" s="86" t="s">
        <v>929</v>
      </c>
      <c r="C64" s="87" t="n">
        <v>0.00608907</v>
      </c>
      <c r="D64" s="87" t="n">
        <v>0.00804571</v>
      </c>
      <c r="E64" s="87" t="n">
        <f aca="false">D64-C64</f>
        <v>0.00195664</v>
      </c>
      <c r="F64" s="51" t="s">
        <v>927</v>
      </c>
      <c r="G64" s="51"/>
      <c r="H64" s="51" t="s">
        <v>711</v>
      </c>
      <c r="I64" s="88" t="s">
        <v>874</v>
      </c>
      <c r="J64" s="11" t="n">
        <v>0.0061480148653681</v>
      </c>
      <c r="K64" s="51" t="s">
        <v>915</v>
      </c>
      <c r="L64" s="51" t="s">
        <v>976</v>
      </c>
    </row>
    <row r="65" customFormat="false" ht="15.75" hidden="false" customHeight="false" outlineLevel="0" collapsed="false">
      <c r="A65" s="86" t="s">
        <v>977</v>
      </c>
      <c r="B65" s="86" t="s">
        <v>929</v>
      </c>
      <c r="C65" s="87" t="n">
        <v>0.00096222</v>
      </c>
      <c r="D65" s="87" t="n">
        <v>0</v>
      </c>
      <c r="E65" s="87" t="n">
        <f aca="false">D65-C65</f>
        <v>-0.00096222</v>
      </c>
      <c r="F65" s="51" t="s">
        <v>978</v>
      </c>
      <c r="G65" s="51"/>
      <c r="H65" s="51" t="s">
        <v>711</v>
      </c>
      <c r="I65" s="88" t="s">
        <v>874</v>
      </c>
      <c r="J65" s="91" t="n">
        <v>0.00942839</v>
      </c>
      <c r="K65" s="51" t="s">
        <v>915</v>
      </c>
      <c r="L65" s="51" t="s">
        <v>976</v>
      </c>
    </row>
    <row r="66" customFormat="false" ht="15.75" hidden="false" customHeight="false" outlineLevel="0" collapsed="false">
      <c r="A66" s="86" t="s">
        <v>979</v>
      </c>
      <c r="B66" s="86" t="s">
        <v>873</v>
      </c>
      <c r="C66" s="87" t="n">
        <v>12.038852</v>
      </c>
      <c r="D66" s="87" t="n">
        <v>13.249799</v>
      </c>
      <c r="E66" s="87" t="n">
        <f aca="false">D66-C66</f>
        <v>1.210947</v>
      </c>
      <c r="F66" s="51" t="s">
        <v>932</v>
      </c>
      <c r="G66" s="51"/>
      <c r="H66" s="51" t="s">
        <v>711</v>
      </c>
      <c r="I66" s="88" t="s">
        <v>874</v>
      </c>
      <c r="J66" s="87" t="n">
        <v>12.038852</v>
      </c>
      <c r="K66" s="51" t="s">
        <v>915</v>
      </c>
      <c r="L66" s="51" t="s">
        <v>976</v>
      </c>
    </row>
    <row r="67" customFormat="false" ht="15.75" hidden="false" customHeight="false" outlineLevel="0" collapsed="false">
      <c r="A67" s="86" t="s">
        <v>980</v>
      </c>
      <c r="B67" s="86" t="s">
        <v>873</v>
      </c>
      <c r="C67" s="87" t="n">
        <v>13.96392771</v>
      </c>
      <c r="D67" s="87" t="n">
        <v>15.64554725</v>
      </c>
      <c r="E67" s="87" t="n">
        <f aca="false">D67-C67</f>
        <v>1.68161954</v>
      </c>
      <c r="F67" s="51" t="s">
        <v>932</v>
      </c>
      <c r="G67" s="51"/>
      <c r="H67" s="51" t="s">
        <v>711</v>
      </c>
      <c r="I67" s="88" t="s">
        <v>874</v>
      </c>
      <c r="J67" s="95" t="n">
        <v>13.88616765</v>
      </c>
      <c r="K67" s="95" t="s">
        <v>915</v>
      </c>
      <c r="L67" s="51" t="s">
        <v>976</v>
      </c>
    </row>
    <row r="68" customFormat="false" ht="15.75" hidden="true" customHeight="false" outlineLevel="0" collapsed="false">
      <c r="A68" s="86" t="s">
        <v>373</v>
      </c>
      <c r="B68" s="86" t="s">
        <v>873</v>
      </c>
      <c r="C68" s="87" t="n">
        <v>5.77048293</v>
      </c>
      <c r="D68" s="87" t="n">
        <v>7.14497363</v>
      </c>
      <c r="E68" s="87" t="n">
        <f aca="false">D68-C68</f>
        <v>1.3744907</v>
      </c>
      <c r="F68" s="51" t="s">
        <v>564</v>
      </c>
      <c r="G68" s="51"/>
      <c r="H68" s="51" t="s">
        <v>890</v>
      </c>
      <c r="I68" s="88" t="s">
        <v>891</v>
      </c>
      <c r="J68" s="87" t="n">
        <v>5.77048293</v>
      </c>
      <c r="K68" s="51" t="s">
        <v>902</v>
      </c>
      <c r="L68" s="51" t="s">
        <v>981</v>
      </c>
      <c r="M68" s="51" t="s">
        <v>904</v>
      </c>
    </row>
    <row r="69" customFormat="false" ht="15.75" hidden="false" customHeight="false" outlineLevel="0" collapsed="false">
      <c r="A69" s="86" t="s">
        <v>982</v>
      </c>
      <c r="B69" s="86" t="s">
        <v>873</v>
      </c>
      <c r="C69" s="87" t="n">
        <v>7.37149638</v>
      </c>
      <c r="D69" s="87" t="s">
        <v>878</v>
      </c>
      <c r="E69" s="87" t="e">
        <f aca="false">D69-C69</f>
        <v>#VALUE!</v>
      </c>
      <c r="F69" s="51" t="s">
        <v>983</v>
      </c>
      <c r="G69" s="51" t="s">
        <v>984</v>
      </c>
      <c r="H69" s="51" t="s">
        <v>881</v>
      </c>
      <c r="I69" s="88"/>
      <c r="K69" s="51" t="s">
        <v>915</v>
      </c>
    </row>
    <row r="70" customFormat="false" ht="15.75" hidden="true" customHeight="false" outlineLevel="0" collapsed="false">
      <c r="A70" s="86" t="s">
        <v>985</v>
      </c>
      <c r="B70" s="86" t="s">
        <v>873</v>
      </c>
      <c r="C70" s="87" t="n">
        <v>9.94580907</v>
      </c>
      <c r="D70" s="87" t="n">
        <v>9.94580907</v>
      </c>
      <c r="E70" s="87" t="n">
        <f aca="false">D70-C70</f>
        <v>0</v>
      </c>
      <c r="F70" s="51" t="s">
        <v>932</v>
      </c>
      <c r="G70" s="51"/>
      <c r="H70" s="51" t="s">
        <v>890</v>
      </c>
      <c r="I70" s="88" t="s">
        <v>891</v>
      </c>
      <c r="J70" s="51" t="n">
        <v>9.94580906</v>
      </c>
      <c r="K70" s="51" t="s">
        <v>902</v>
      </c>
      <c r="L70" s="51" t="s">
        <v>986</v>
      </c>
      <c r="M70" s="51" t="s">
        <v>987</v>
      </c>
    </row>
    <row r="71" customFormat="false" ht="15.75" hidden="true" customHeight="false" outlineLevel="0" collapsed="false">
      <c r="A71" s="86" t="s">
        <v>311</v>
      </c>
      <c r="B71" s="86" t="s">
        <v>929</v>
      </c>
      <c r="C71" s="87" t="n">
        <v>12.79142959</v>
      </c>
      <c r="D71" s="87" t="n">
        <v>12.79142959</v>
      </c>
      <c r="E71" s="87" t="n">
        <f aca="false">D71-C71</f>
        <v>0</v>
      </c>
      <c r="F71" s="51" t="s">
        <v>932</v>
      </c>
      <c r="G71" s="51"/>
      <c r="H71" s="51" t="s">
        <v>890</v>
      </c>
      <c r="I71" s="88" t="s">
        <v>891</v>
      </c>
      <c r="J71" s="51" t="n">
        <v>12.79142957</v>
      </c>
      <c r="K71" s="51" t="s">
        <v>902</v>
      </c>
      <c r="L71" s="51" t="s">
        <v>986</v>
      </c>
    </row>
    <row r="72" customFormat="false" ht="15.75" hidden="true" customHeight="false" outlineLevel="0" collapsed="false">
      <c r="A72" s="86" t="s">
        <v>988</v>
      </c>
      <c r="B72" s="86" t="s">
        <v>929</v>
      </c>
      <c r="C72" s="87" t="n">
        <v>12.21129281</v>
      </c>
      <c r="D72" s="87" t="n">
        <v>12.21128446</v>
      </c>
      <c r="E72" s="87" t="n">
        <f aca="false">D72-C72</f>
        <v>-8.34999999987929E-006</v>
      </c>
      <c r="F72" s="51" t="s">
        <v>932</v>
      </c>
      <c r="G72" s="51"/>
      <c r="H72" s="51" t="s">
        <v>890</v>
      </c>
      <c r="I72" s="88" t="s">
        <v>891</v>
      </c>
      <c r="J72" s="51" t="n">
        <v>12.21129277</v>
      </c>
      <c r="K72" s="51" t="s">
        <v>902</v>
      </c>
      <c r="L72" s="51" t="s">
        <v>986</v>
      </c>
    </row>
    <row r="73" customFormat="false" ht="15.75" hidden="true" customHeight="false" outlineLevel="0" collapsed="false">
      <c r="A73" s="86" t="s">
        <v>989</v>
      </c>
      <c r="B73" s="86" t="s">
        <v>873</v>
      </c>
      <c r="C73" s="91" t="n">
        <v>19.70431071</v>
      </c>
      <c r="D73" s="91" t="n">
        <v>19.70431071</v>
      </c>
      <c r="E73" s="87" t="n">
        <f aca="false">D73-C73</f>
        <v>0</v>
      </c>
      <c r="F73" s="51" t="s">
        <v>990</v>
      </c>
      <c r="G73" s="51"/>
      <c r="H73" s="51" t="s">
        <v>890</v>
      </c>
      <c r="I73" s="88" t="s">
        <v>891</v>
      </c>
      <c r="J73" s="51" t="n">
        <v>19.70431071</v>
      </c>
      <c r="K73" s="51" t="s">
        <v>902</v>
      </c>
      <c r="L73" s="51" t="s">
        <v>991</v>
      </c>
    </row>
    <row r="74" customFormat="false" ht="15.75" hidden="true" customHeight="false" outlineLevel="0" collapsed="false">
      <c r="A74" s="86" t="s">
        <v>534</v>
      </c>
      <c r="B74" s="86" t="s">
        <v>883</v>
      </c>
      <c r="C74" s="87" t="n">
        <v>5.64263385</v>
      </c>
      <c r="D74" s="87" t="n">
        <v>5.64263385</v>
      </c>
      <c r="E74" s="87" t="n">
        <f aca="false">D74-C74</f>
        <v>0</v>
      </c>
      <c r="F74" s="51" t="s">
        <v>932</v>
      </c>
      <c r="G74" s="51"/>
      <c r="H74" s="51" t="s">
        <v>890</v>
      </c>
      <c r="I74" s="88" t="s">
        <v>992</v>
      </c>
      <c r="J74" s="51" t="n">
        <v>11.29406464</v>
      </c>
      <c r="K74" s="51" t="s">
        <v>902</v>
      </c>
      <c r="L74" s="51" t="s">
        <v>993</v>
      </c>
    </row>
    <row r="75" customFormat="false" ht="15.75" hidden="true" customHeight="false" outlineLevel="0" collapsed="false">
      <c r="A75" s="86" t="s">
        <v>319</v>
      </c>
      <c r="B75" s="86" t="s">
        <v>929</v>
      </c>
      <c r="C75" s="87" t="n">
        <v>12.42476082</v>
      </c>
      <c r="D75" s="87" t="n">
        <v>12.42476082</v>
      </c>
      <c r="E75" s="87" t="n">
        <f aca="false">D75-C75</f>
        <v>0</v>
      </c>
      <c r="F75" s="51" t="s">
        <v>932</v>
      </c>
      <c r="G75" s="51"/>
      <c r="H75" s="51" t="s">
        <v>890</v>
      </c>
      <c r="I75" s="88" t="s">
        <v>891</v>
      </c>
      <c r="J75" s="51" t="n">
        <v>12.42476079</v>
      </c>
      <c r="K75" s="51" t="s">
        <v>902</v>
      </c>
      <c r="L75" s="51" t="s">
        <v>994</v>
      </c>
    </row>
    <row r="76" customFormat="false" ht="15.75" hidden="true" customHeight="false" outlineLevel="0" collapsed="false">
      <c r="A76" s="86" t="s">
        <v>995</v>
      </c>
      <c r="B76" s="86" t="s">
        <v>883</v>
      </c>
      <c r="C76" s="87" t="n">
        <v>15.6271056</v>
      </c>
      <c r="D76" s="87" t="s">
        <v>878</v>
      </c>
      <c r="E76" s="87" t="e">
        <f aca="false">D76-C76</f>
        <v>#VALUE!</v>
      </c>
      <c r="F76" s="51" t="s">
        <v>932</v>
      </c>
      <c r="G76" s="51"/>
      <c r="H76" s="51" t="s">
        <v>890</v>
      </c>
      <c r="I76" s="88" t="s">
        <v>992</v>
      </c>
      <c r="J76" s="51" t="n">
        <v>15.251779</v>
      </c>
      <c r="K76" s="51" t="s">
        <v>911</v>
      </c>
      <c r="L76" s="51" t="s">
        <v>986</v>
      </c>
    </row>
    <row r="77" customFormat="false" ht="15.75" hidden="true" customHeight="false" outlineLevel="0" collapsed="false">
      <c r="A77" s="86" t="s">
        <v>996</v>
      </c>
      <c r="B77" s="86" t="s">
        <v>883</v>
      </c>
      <c r="C77" s="87" t="n">
        <v>21.71985171</v>
      </c>
      <c r="D77" s="87" t="n">
        <v>21.719852014</v>
      </c>
      <c r="E77" s="87" t="n">
        <f aca="false">D77-C77</f>
        <v>3.04000000284077E-007</v>
      </c>
      <c r="F77" s="51" t="s">
        <v>932</v>
      </c>
      <c r="G77" s="51"/>
      <c r="H77" s="51" t="s">
        <v>890</v>
      </c>
      <c r="I77" s="88" t="s">
        <v>992</v>
      </c>
      <c r="J77" s="51" t="n">
        <v>6.1735272</v>
      </c>
      <c r="K77" s="51" t="s">
        <v>902</v>
      </c>
      <c r="L77" s="51" t="s">
        <v>994</v>
      </c>
    </row>
    <row r="78" customFormat="false" ht="15.75" hidden="true" customHeight="false" outlineLevel="0" collapsed="false">
      <c r="A78" s="86" t="s">
        <v>997</v>
      </c>
      <c r="B78" s="86" t="s">
        <v>883</v>
      </c>
      <c r="C78" s="87" t="n">
        <v>21.8051723</v>
      </c>
      <c r="D78" s="87" t="n">
        <v>21.805172755</v>
      </c>
      <c r="E78" s="87" t="n">
        <f aca="false">D78-C78</f>
        <v>4.55000002119732E-007</v>
      </c>
      <c r="F78" s="51" t="s">
        <v>932</v>
      </c>
      <c r="G78" s="51"/>
      <c r="H78" s="51" t="s">
        <v>890</v>
      </c>
      <c r="I78" s="88" t="s">
        <v>992</v>
      </c>
      <c r="J78" s="51" t="n">
        <v>6.8158814</v>
      </c>
      <c r="K78" s="51" t="s">
        <v>902</v>
      </c>
      <c r="L78" s="51" t="s">
        <v>994</v>
      </c>
    </row>
    <row r="79" customFormat="false" ht="15.75" hidden="false" customHeight="false" outlineLevel="0" collapsed="false">
      <c r="A79" s="86" t="s">
        <v>600</v>
      </c>
      <c r="B79" s="86" t="s">
        <v>873</v>
      </c>
      <c r="C79" s="87" t="n">
        <v>11.7997715</v>
      </c>
      <c r="D79" s="87" t="n">
        <v>12.98635437</v>
      </c>
      <c r="E79" s="87" t="n">
        <f aca="false">D79-C79</f>
        <v>1.18658287</v>
      </c>
      <c r="F79" s="51" t="s">
        <v>711</v>
      </c>
      <c r="G79" s="51"/>
      <c r="H79" s="51" t="s">
        <v>711</v>
      </c>
      <c r="I79" s="88" t="s">
        <v>874</v>
      </c>
      <c r="J79" s="51" t="n">
        <v>11.79977149</v>
      </c>
      <c r="K79" s="51" t="s">
        <v>911</v>
      </c>
      <c r="L79" s="51" t="s">
        <v>998</v>
      </c>
    </row>
    <row r="80" customFormat="false" ht="15.75" hidden="true" customHeight="false" outlineLevel="0" collapsed="false"/>
    <row r="81" customFormat="false" ht="15.75" hidden="true" customHeight="false" outlineLevel="0" collapsed="false"/>
    <row r="82" customFormat="false" ht="15.75" hidden="true" customHeight="false" outlineLevel="0" collapsed="false"/>
    <row r="83" customFormat="false" ht="15.75" hidden="true" customHeight="false" outlineLevel="0" collapsed="false"/>
    <row r="84" customFormat="false" ht="15.75" hidden="true" customHeight="false" outlineLevel="0" collapsed="false"/>
    <row r="85" customFormat="false" ht="15.75" hidden="true" customHeight="false" outlineLevel="0" collapsed="false"/>
    <row r="86" customFormat="false" ht="15.75" hidden="true" customHeight="false" outlineLevel="0" collapsed="false"/>
    <row r="87" customFormat="false" ht="15.75" hidden="true" customHeight="false" outlineLevel="0" collapsed="false"/>
    <row r="88" customFormat="false" ht="15.75" hidden="true" customHeight="false" outlineLevel="0" collapsed="false"/>
    <row r="89" customFormat="false" ht="15.75" hidden="true" customHeight="false" outlineLevel="0" collapsed="false"/>
    <row r="90" customFormat="false" ht="15.75" hidden="true" customHeight="false" outlineLevel="0" collapsed="false"/>
    <row r="91" customFormat="false" ht="15.75" hidden="true" customHeight="false" outlineLevel="0" collapsed="false"/>
    <row r="92" customFormat="false" ht="15.75" hidden="true" customHeight="false" outlineLevel="0" collapsed="false"/>
    <row r="93" customFormat="false" ht="15.75" hidden="true" customHeight="false" outlineLevel="0" collapsed="false"/>
    <row r="94" customFormat="false" ht="15.75" hidden="true" customHeight="false" outlineLevel="0" collapsed="false"/>
    <row r="95" customFormat="false" ht="15.75" hidden="true" customHeight="false" outlineLevel="0" collapsed="false"/>
    <row r="96" customFormat="false" ht="15.75" hidden="true" customHeight="false" outlineLevel="0" collapsed="false"/>
    <row r="97" customFormat="false" ht="15.75" hidden="true" customHeight="false" outlineLevel="0" collapsed="false"/>
    <row r="98" customFormat="false" ht="15.75" hidden="true" customHeight="false" outlineLevel="0" collapsed="false"/>
    <row r="99" customFormat="false" ht="15.75" hidden="true" customHeight="false" outlineLevel="0" collapsed="false"/>
    <row r="100" customFormat="false" ht="15.75" hidden="true" customHeight="false" outlineLevel="0" collapsed="false"/>
    <row r="101" customFormat="false" ht="15.75" hidden="true" customHeight="false" outlineLevel="0" collapsed="false"/>
    <row r="102" customFormat="false" ht="15.75" hidden="true" customHeight="false" outlineLevel="0" collapsed="false"/>
    <row r="103" customFormat="false" ht="15.75" hidden="true" customHeight="false" outlineLevel="0" collapsed="false"/>
    <row r="104" customFormat="false" ht="15.75" hidden="true" customHeight="false" outlineLevel="0" collapsed="false"/>
    <row r="105" customFormat="false" ht="15.75" hidden="true" customHeight="false" outlineLevel="0" collapsed="false"/>
    <row r="106" customFormat="false" ht="15.75" hidden="true" customHeight="false" outlineLevel="0" collapsed="false"/>
    <row r="107" customFormat="false" ht="15.75" hidden="true" customHeight="false" outlineLevel="0" collapsed="false"/>
    <row r="108" customFormat="false" ht="15.75" hidden="true" customHeight="false" outlineLevel="0" collapsed="false"/>
    <row r="109" customFormat="false" ht="15.75" hidden="true" customHeight="false" outlineLevel="0" collapsed="false"/>
    <row r="110" customFormat="false" ht="15.75" hidden="true" customHeight="false" outlineLevel="0" collapsed="false"/>
    <row r="111" customFormat="false" ht="15.75" hidden="true" customHeight="false" outlineLevel="0" collapsed="false"/>
    <row r="112" customFormat="false" ht="15.75" hidden="true" customHeight="false" outlineLevel="0" collapsed="false"/>
    <row r="113" customFormat="false" ht="15.75" hidden="true" customHeight="false" outlineLevel="0" collapsed="false"/>
    <row r="114" customFormat="false" ht="15.75" hidden="true" customHeight="false" outlineLevel="0" collapsed="false"/>
    <row r="115" customFormat="false" ht="15.75" hidden="true" customHeight="false" outlineLevel="0" collapsed="false"/>
    <row r="116" customFormat="false" ht="15.75" hidden="true" customHeight="false" outlineLevel="0" collapsed="false"/>
    <row r="117" customFormat="false" ht="15.75" hidden="true" customHeight="false" outlineLevel="0" collapsed="false"/>
    <row r="118" customFormat="false" ht="15.75" hidden="true" customHeight="false" outlineLevel="0" collapsed="false"/>
    <row r="119" customFormat="false" ht="15.75" hidden="true" customHeight="false" outlineLevel="0" collapsed="false"/>
    <row r="120" customFormat="false" ht="15.75" hidden="true" customHeight="false" outlineLevel="0" collapsed="false"/>
    <row r="121" customFormat="false" ht="15.75" hidden="true" customHeight="false" outlineLevel="0" collapsed="false"/>
    <row r="122" customFormat="false" ht="15.75" hidden="true" customHeight="false" outlineLevel="0" collapsed="false"/>
    <row r="123" customFormat="false" ht="15.75" hidden="true" customHeight="false" outlineLevel="0" collapsed="false"/>
    <row r="124" customFormat="false" ht="15.75" hidden="true" customHeight="false" outlineLevel="0" collapsed="false"/>
    <row r="125" customFormat="false" ht="15.75" hidden="true" customHeight="false" outlineLevel="0" collapsed="false"/>
    <row r="126" customFormat="false" ht="15.75" hidden="true" customHeight="false" outlineLevel="0" collapsed="false"/>
    <row r="127" customFormat="false" ht="15.75" hidden="true" customHeight="false" outlineLevel="0" collapsed="false"/>
    <row r="128" customFormat="false" ht="15.75" hidden="true" customHeight="false" outlineLevel="0" collapsed="false"/>
    <row r="129" customFormat="false" ht="15.75" hidden="true" customHeight="false" outlineLevel="0" collapsed="false"/>
    <row r="130" customFormat="false" ht="15.75" hidden="true" customHeight="false" outlineLevel="0" collapsed="false"/>
    <row r="131" customFormat="false" ht="15.75" hidden="true" customHeight="false" outlineLevel="0" collapsed="false"/>
    <row r="132" customFormat="false" ht="15.75" hidden="true" customHeight="false" outlineLevel="0" collapsed="false"/>
    <row r="133" customFormat="false" ht="15.75" hidden="true" customHeight="false" outlineLevel="0" collapsed="false"/>
    <row r="134" customFormat="false" ht="15.75" hidden="true" customHeight="false" outlineLevel="0" collapsed="false"/>
    <row r="135" customFormat="false" ht="15.75" hidden="true" customHeight="false" outlineLevel="0" collapsed="false"/>
    <row r="136" customFormat="false" ht="15.75" hidden="true" customHeight="false" outlineLevel="0" collapsed="false"/>
    <row r="137" customFormat="false" ht="15.75" hidden="true" customHeight="false" outlineLevel="0" collapsed="false"/>
    <row r="138" customFormat="false" ht="15.75" hidden="true" customHeight="false" outlineLevel="0" collapsed="false"/>
    <row r="139" customFormat="false" ht="15.75" hidden="true" customHeight="false" outlineLevel="0" collapsed="false"/>
    <row r="140" customFormat="false" ht="15.75" hidden="true" customHeight="false" outlineLevel="0" collapsed="false"/>
    <row r="141" customFormat="false" ht="15.75" hidden="true" customHeight="false" outlineLevel="0" collapsed="false"/>
    <row r="142" customFormat="false" ht="15.75" hidden="true" customHeight="false" outlineLevel="0" collapsed="false"/>
    <row r="143" customFormat="false" ht="15.75" hidden="true" customHeight="false" outlineLevel="0" collapsed="false"/>
    <row r="144" customFormat="false" ht="15.75" hidden="true" customHeight="false" outlineLevel="0" collapsed="false"/>
    <row r="145" customFormat="false" ht="15.75" hidden="true" customHeight="false" outlineLevel="0" collapsed="false"/>
    <row r="146" customFormat="false" ht="15.75" hidden="true" customHeight="false" outlineLevel="0" collapsed="false"/>
    <row r="147" customFormat="false" ht="15.75" hidden="true" customHeight="false" outlineLevel="0" collapsed="false"/>
    <row r="148" customFormat="false" ht="15.75" hidden="true" customHeight="false" outlineLevel="0" collapsed="false"/>
    <row r="149" customFormat="false" ht="15.75" hidden="true" customHeight="false" outlineLevel="0" collapsed="false"/>
    <row r="150" customFormat="false" ht="15.75" hidden="true" customHeight="false" outlineLevel="0" collapsed="false"/>
    <row r="151" customFormat="false" ht="15.75" hidden="true" customHeight="false" outlineLevel="0" collapsed="false"/>
    <row r="152" customFormat="false" ht="15.75" hidden="true" customHeight="false" outlineLevel="0" collapsed="false"/>
    <row r="153" customFormat="false" ht="15.75" hidden="true" customHeight="false" outlineLevel="0" collapsed="false"/>
    <row r="154" customFormat="false" ht="15.75" hidden="true" customHeight="false" outlineLevel="0" collapsed="false"/>
    <row r="155" customFormat="false" ht="15.75" hidden="true" customHeight="false" outlineLevel="0" collapsed="false"/>
    <row r="156" customFormat="false" ht="15.75" hidden="true" customHeight="false" outlineLevel="0" collapsed="false"/>
    <row r="157" customFormat="false" ht="15.75" hidden="true" customHeight="false" outlineLevel="0" collapsed="false"/>
    <row r="158" customFormat="false" ht="15.75" hidden="true" customHeight="false" outlineLevel="0" collapsed="false"/>
    <row r="159" customFormat="false" ht="15.75" hidden="true" customHeight="false" outlineLevel="0" collapsed="false"/>
    <row r="160" customFormat="false" ht="15.75" hidden="true" customHeight="false" outlineLevel="0" collapsed="false"/>
    <row r="161" customFormat="false" ht="15.75" hidden="true" customHeight="false" outlineLevel="0" collapsed="false"/>
    <row r="162" customFormat="false" ht="15.75" hidden="true" customHeight="false" outlineLevel="0" collapsed="false"/>
    <row r="163" customFormat="false" ht="15.75" hidden="true" customHeight="false" outlineLevel="0" collapsed="false"/>
    <row r="164" customFormat="false" ht="15.75" hidden="true" customHeight="false" outlineLevel="0" collapsed="false"/>
    <row r="165" customFormat="false" ht="15.75" hidden="true" customHeight="false" outlineLevel="0" collapsed="false"/>
    <row r="166" customFormat="false" ht="15.75" hidden="true" customHeight="false" outlineLevel="0" collapsed="false"/>
    <row r="167" customFormat="false" ht="15.75" hidden="true" customHeight="false" outlineLevel="0" collapsed="false"/>
    <row r="168" customFormat="false" ht="15.75" hidden="true" customHeight="false" outlineLevel="0" collapsed="false"/>
    <row r="169" customFormat="false" ht="15.75" hidden="true" customHeight="false" outlineLevel="0" collapsed="false"/>
    <row r="170" customFormat="false" ht="15.75" hidden="true" customHeight="false" outlineLevel="0" collapsed="false"/>
    <row r="171" customFormat="false" ht="15.75" hidden="true" customHeight="false" outlineLevel="0" collapsed="false"/>
    <row r="172" customFormat="false" ht="15.75" hidden="true" customHeight="false" outlineLevel="0" collapsed="false"/>
    <row r="173" customFormat="false" ht="15.75" hidden="true" customHeight="false" outlineLevel="0" collapsed="false"/>
    <row r="174" customFormat="false" ht="15.75" hidden="true" customHeight="false" outlineLevel="0" collapsed="false"/>
    <row r="175" customFormat="false" ht="15.75" hidden="true" customHeight="false" outlineLevel="0" collapsed="false"/>
    <row r="176" customFormat="false" ht="15.75" hidden="true" customHeight="false" outlineLevel="0" collapsed="false"/>
    <row r="177" customFormat="false" ht="15.75" hidden="true" customHeight="false" outlineLevel="0" collapsed="false"/>
    <row r="178" customFormat="false" ht="15.75" hidden="true" customHeight="false" outlineLevel="0" collapsed="false"/>
    <row r="179" customFormat="false" ht="15.75" hidden="true" customHeight="false" outlineLevel="0" collapsed="false"/>
    <row r="180" customFormat="false" ht="15.75" hidden="true" customHeight="false" outlineLevel="0" collapsed="false"/>
    <row r="181" customFormat="false" ht="15.75" hidden="true" customHeight="false" outlineLevel="0" collapsed="false"/>
    <row r="182" customFormat="false" ht="15.75" hidden="true" customHeight="false" outlineLevel="0" collapsed="false"/>
    <row r="183" customFormat="false" ht="15.75" hidden="true" customHeight="false" outlineLevel="0" collapsed="false"/>
    <row r="184" customFormat="false" ht="15.75" hidden="true" customHeight="false" outlineLevel="0" collapsed="false"/>
    <row r="185" customFormat="false" ht="15.75" hidden="true" customHeight="false" outlineLevel="0" collapsed="false"/>
    <row r="186" customFormat="false" ht="15.75" hidden="true" customHeight="false" outlineLevel="0" collapsed="false"/>
    <row r="187" customFormat="false" ht="15.75" hidden="true" customHeight="false" outlineLevel="0" collapsed="false"/>
    <row r="188" customFormat="false" ht="15.75" hidden="true" customHeight="false" outlineLevel="0" collapsed="false"/>
    <row r="189" customFormat="false" ht="15.75" hidden="true" customHeight="false" outlineLevel="0" collapsed="false"/>
    <row r="190" customFormat="false" ht="15.75" hidden="true" customHeight="false" outlineLevel="0" collapsed="false"/>
    <row r="191" customFormat="false" ht="15.75" hidden="true" customHeight="false" outlineLevel="0" collapsed="false"/>
    <row r="192" customFormat="false" ht="15.75" hidden="true" customHeight="false" outlineLevel="0" collapsed="false"/>
    <row r="193" customFormat="false" ht="15.75" hidden="true" customHeight="false" outlineLevel="0" collapsed="false"/>
    <row r="194" customFormat="false" ht="15.75" hidden="true" customHeight="false" outlineLevel="0" collapsed="false"/>
    <row r="195" customFormat="false" ht="15.75" hidden="true" customHeight="false" outlineLevel="0" collapsed="false"/>
    <row r="196" customFormat="false" ht="15.75" hidden="true" customHeight="false" outlineLevel="0" collapsed="false"/>
    <row r="197" customFormat="false" ht="15.75" hidden="true" customHeight="false" outlineLevel="0" collapsed="false"/>
    <row r="198" customFormat="false" ht="15.75" hidden="true" customHeight="false" outlineLevel="0" collapsed="false"/>
    <row r="199" customFormat="false" ht="15.75" hidden="true" customHeight="false" outlineLevel="0" collapsed="false"/>
    <row r="200" customFormat="false" ht="15.75" hidden="true" customHeight="false" outlineLevel="0" collapsed="false"/>
    <row r="201" customFormat="false" ht="15.75" hidden="true" customHeight="false" outlineLevel="0" collapsed="false"/>
    <row r="202" customFormat="false" ht="15.75" hidden="true" customHeight="false" outlineLevel="0" collapsed="false"/>
    <row r="203" customFormat="false" ht="15.75" hidden="true" customHeight="false" outlineLevel="0" collapsed="false"/>
    <row r="204" customFormat="false" ht="15.75" hidden="true" customHeight="false" outlineLevel="0" collapsed="false"/>
    <row r="205" customFormat="false" ht="15.75" hidden="true" customHeight="false" outlineLevel="0" collapsed="false"/>
    <row r="206" customFormat="false" ht="15.75" hidden="true" customHeight="false" outlineLevel="0" collapsed="false"/>
    <row r="207" customFormat="false" ht="15.75" hidden="true" customHeight="false" outlineLevel="0" collapsed="false"/>
    <row r="208" customFormat="false" ht="15.75" hidden="true" customHeight="false" outlineLevel="0" collapsed="false"/>
    <row r="209" customFormat="false" ht="15.75" hidden="true" customHeight="false" outlineLevel="0" collapsed="false"/>
    <row r="210" customFormat="false" ht="15.75" hidden="true" customHeight="false" outlineLevel="0" collapsed="false"/>
    <row r="211" customFormat="false" ht="15.75" hidden="true" customHeight="false" outlineLevel="0" collapsed="false"/>
    <row r="212" customFormat="false" ht="15.75" hidden="true" customHeight="false" outlineLevel="0" collapsed="false"/>
    <row r="213" customFormat="false" ht="15.75" hidden="true" customHeight="false" outlineLevel="0" collapsed="false"/>
    <row r="214" customFormat="false" ht="15.75" hidden="true" customHeight="false" outlineLevel="0" collapsed="false"/>
    <row r="215" customFormat="false" ht="15.75" hidden="true" customHeight="false" outlineLevel="0" collapsed="false"/>
    <row r="216" customFormat="false" ht="15.75" hidden="true" customHeight="false" outlineLevel="0" collapsed="false"/>
    <row r="217" customFormat="false" ht="15.75" hidden="true" customHeight="false" outlineLevel="0" collapsed="false"/>
    <row r="218" customFormat="false" ht="15.75" hidden="true" customHeight="false" outlineLevel="0" collapsed="false"/>
    <row r="219" customFormat="false" ht="15.75" hidden="true" customHeight="false" outlineLevel="0" collapsed="false"/>
    <row r="220" customFormat="false" ht="15.75" hidden="true" customHeight="false" outlineLevel="0" collapsed="false"/>
    <row r="221" customFormat="false" ht="15.75" hidden="true" customHeight="false" outlineLevel="0" collapsed="false"/>
    <row r="222" customFormat="false" ht="15.75" hidden="true" customHeight="false" outlineLevel="0" collapsed="false"/>
    <row r="223" customFormat="false" ht="15.75" hidden="true" customHeight="false" outlineLevel="0" collapsed="false"/>
    <row r="224" customFormat="false" ht="15.75" hidden="true" customHeight="false" outlineLevel="0" collapsed="false"/>
    <row r="225" customFormat="false" ht="15.75" hidden="true" customHeight="false" outlineLevel="0" collapsed="false"/>
    <row r="226" customFormat="false" ht="15.75" hidden="true" customHeight="false" outlineLevel="0" collapsed="false"/>
    <row r="227" customFormat="false" ht="15.75" hidden="true" customHeight="false" outlineLevel="0" collapsed="false"/>
    <row r="228" customFormat="false" ht="15.75" hidden="true" customHeight="false" outlineLevel="0" collapsed="false"/>
    <row r="229" customFormat="false" ht="15.75" hidden="true" customHeight="false" outlineLevel="0" collapsed="false"/>
    <row r="230" customFormat="false" ht="15.75" hidden="true" customHeight="false" outlineLevel="0" collapsed="false"/>
    <row r="231" customFormat="false" ht="15.75" hidden="true" customHeight="false" outlineLevel="0" collapsed="false"/>
    <row r="232" customFormat="false" ht="15.75" hidden="true" customHeight="false" outlineLevel="0" collapsed="false"/>
    <row r="233" customFormat="false" ht="15.75" hidden="true" customHeight="false" outlineLevel="0" collapsed="false"/>
    <row r="234" customFormat="false" ht="15.75" hidden="true" customHeight="false" outlineLevel="0" collapsed="false"/>
    <row r="235" customFormat="false" ht="15.75" hidden="true" customHeight="false" outlineLevel="0" collapsed="false"/>
    <row r="236" customFormat="false" ht="15.75" hidden="true" customHeight="false" outlineLevel="0" collapsed="false"/>
    <row r="237" customFormat="false" ht="15.75" hidden="true" customHeight="false" outlineLevel="0" collapsed="false"/>
    <row r="238" customFormat="false" ht="15.75" hidden="true" customHeight="false" outlineLevel="0" collapsed="false"/>
    <row r="239" customFormat="false" ht="15.75" hidden="true" customHeight="false" outlineLevel="0" collapsed="false"/>
    <row r="240" customFormat="false" ht="15.75" hidden="true" customHeight="false" outlineLevel="0" collapsed="false"/>
    <row r="241" customFormat="false" ht="15.75" hidden="true" customHeight="false" outlineLevel="0" collapsed="false"/>
    <row r="242" customFormat="false" ht="15.75" hidden="true" customHeight="false" outlineLevel="0" collapsed="false"/>
    <row r="243" customFormat="false" ht="15.75" hidden="true" customHeight="false" outlineLevel="0" collapsed="false"/>
    <row r="244" customFormat="false" ht="15.75" hidden="true" customHeight="false" outlineLevel="0" collapsed="false"/>
    <row r="245" customFormat="false" ht="15.75" hidden="true" customHeight="false" outlineLevel="0" collapsed="false"/>
    <row r="246" customFormat="false" ht="15.75" hidden="true" customHeight="false" outlineLevel="0" collapsed="false"/>
    <row r="247" customFormat="false" ht="15.75" hidden="true" customHeight="false" outlineLevel="0" collapsed="false"/>
    <row r="248" customFormat="false" ht="15.75" hidden="true" customHeight="false" outlineLevel="0" collapsed="false"/>
    <row r="249" customFormat="false" ht="15.75" hidden="true" customHeight="false" outlineLevel="0" collapsed="false"/>
    <row r="250" customFormat="false" ht="15.75" hidden="true" customHeight="false" outlineLevel="0" collapsed="false"/>
    <row r="251" customFormat="false" ht="15.75" hidden="true" customHeight="false" outlineLevel="0" collapsed="false"/>
    <row r="252" customFormat="false" ht="15.75" hidden="true" customHeight="false" outlineLevel="0" collapsed="false"/>
    <row r="253" customFormat="false" ht="15.75" hidden="true" customHeight="false" outlineLevel="0" collapsed="false"/>
    <row r="254" customFormat="false" ht="15.75" hidden="true" customHeight="false" outlineLevel="0" collapsed="false"/>
    <row r="255" customFormat="false" ht="15.75" hidden="true" customHeight="false" outlineLevel="0" collapsed="false"/>
    <row r="256" customFormat="false" ht="15.75" hidden="true" customHeight="false" outlineLevel="0" collapsed="false"/>
    <row r="257" customFormat="false" ht="15.75" hidden="true" customHeight="false" outlineLevel="0" collapsed="false"/>
    <row r="258" customFormat="false" ht="15.75" hidden="true" customHeight="false" outlineLevel="0" collapsed="false"/>
    <row r="259" customFormat="false" ht="15.75" hidden="true" customHeight="false" outlineLevel="0" collapsed="false"/>
    <row r="260" customFormat="false" ht="15.75" hidden="true" customHeight="false" outlineLevel="0" collapsed="false"/>
    <row r="261" customFormat="false" ht="15.75" hidden="true" customHeight="false" outlineLevel="0" collapsed="false"/>
    <row r="262" customFormat="false" ht="15.75" hidden="true" customHeight="false" outlineLevel="0" collapsed="false"/>
    <row r="263" customFormat="false" ht="15.75" hidden="true" customHeight="false" outlineLevel="0" collapsed="false"/>
    <row r="264" customFormat="false" ht="15.75" hidden="true" customHeight="false" outlineLevel="0" collapsed="false"/>
    <row r="265" customFormat="false" ht="15.75" hidden="true" customHeight="false" outlineLevel="0" collapsed="false"/>
    <row r="266" customFormat="false" ht="15.75" hidden="true" customHeight="false" outlineLevel="0" collapsed="false"/>
    <row r="267" customFormat="false" ht="15.75" hidden="true" customHeight="false" outlineLevel="0" collapsed="false"/>
    <row r="268" customFormat="false" ht="15.75" hidden="true" customHeight="false" outlineLevel="0" collapsed="false"/>
    <row r="269" customFormat="false" ht="15.75" hidden="true" customHeight="false" outlineLevel="0" collapsed="false"/>
    <row r="270" customFormat="false" ht="15.75" hidden="true" customHeight="false" outlineLevel="0" collapsed="false"/>
    <row r="271" customFormat="false" ht="15.75" hidden="true" customHeight="false" outlineLevel="0" collapsed="false"/>
    <row r="272" customFormat="false" ht="15.75" hidden="true" customHeight="false" outlineLevel="0" collapsed="false"/>
    <row r="273" customFormat="false" ht="15.75" hidden="true" customHeight="false" outlineLevel="0" collapsed="false"/>
    <row r="274" customFormat="false" ht="15.75" hidden="true" customHeight="false" outlineLevel="0" collapsed="false"/>
    <row r="275" customFormat="false" ht="15.75" hidden="true" customHeight="false" outlineLevel="0" collapsed="false"/>
    <row r="276" customFormat="false" ht="15.75" hidden="true" customHeight="false" outlineLevel="0" collapsed="false"/>
    <row r="277" customFormat="false" ht="15.75" hidden="true" customHeight="false" outlineLevel="0" collapsed="false"/>
    <row r="278" customFormat="false" ht="15.75" hidden="true" customHeight="false" outlineLevel="0" collapsed="false"/>
    <row r="279" customFormat="false" ht="15.75" hidden="true" customHeight="false" outlineLevel="0" collapsed="false"/>
    <row r="280" customFormat="false" ht="15.75" hidden="true" customHeight="false" outlineLevel="0" collapsed="false"/>
    <row r="281" customFormat="false" ht="15.75" hidden="true" customHeight="false" outlineLevel="0" collapsed="false"/>
    <row r="282" customFormat="false" ht="15.75" hidden="true" customHeight="false" outlineLevel="0" collapsed="false"/>
    <row r="283" customFormat="false" ht="15.75" hidden="true" customHeight="false" outlineLevel="0" collapsed="false"/>
    <row r="284" customFormat="false" ht="15.75" hidden="true" customHeight="false" outlineLevel="0" collapsed="false"/>
    <row r="285" customFormat="false" ht="15.75" hidden="true" customHeight="false" outlineLevel="0" collapsed="false"/>
    <row r="286" customFormat="false" ht="15.75" hidden="true" customHeight="false" outlineLevel="0" collapsed="false"/>
    <row r="287" customFormat="false" ht="15.75" hidden="true" customHeight="false" outlineLevel="0" collapsed="false"/>
    <row r="288" customFormat="false" ht="15.75" hidden="true" customHeight="false" outlineLevel="0" collapsed="false"/>
    <row r="289" customFormat="false" ht="15.75" hidden="true" customHeight="false" outlineLevel="0" collapsed="false"/>
    <row r="290" customFormat="false" ht="15.75" hidden="true" customHeight="false" outlineLevel="0" collapsed="false"/>
    <row r="291" customFormat="false" ht="15.75" hidden="true" customHeight="false" outlineLevel="0" collapsed="false"/>
    <row r="292" customFormat="false" ht="15.75" hidden="true" customHeight="false" outlineLevel="0" collapsed="false"/>
    <row r="293" customFormat="false" ht="15.75" hidden="true" customHeight="false" outlineLevel="0" collapsed="false"/>
    <row r="294" customFormat="false" ht="15.75" hidden="true" customHeight="false" outlineLevel="0" collapsed="false"/>
    <row r="295" customFormat="false" ht="15.75" hidden="true" customHeight="false" outlineLevel="0" collapsed="false"/>
    <row r="296" customFormat="false" ht="15.75" hidden="true" customHeight="false" outlineLevel="0" collapsed="false"/>
    <row r="297" customFormat="false" ht="15.75" hidden="true" customHeight="false" outlineLevel="0" collapsed="false"/>
    <row r="298" customFormat="false" ht="15.75" hidden="true" customHeight="false" outlineLevel="0" collapsed="false"/>
    <row r="299" customFormat="false" ht="15.75" hidden="true" customHeight="false" outlineLevel="0" collapsed="false"/>
    <row r="300" customFormat="false" ht="15.75" hidden="true" customHeight="false" outlineLevel="0" collapsed="false"/>
    <row r="301" customFormat="false" ht="15.75" hidden="true" customHeight="false" outlineLevel="0" collapsed="false"/>
    <row r="302" customFormat="false" ht="15.75" hidden="true" customHeight="false" outlineLevel="0" collapsed="false"/>
    <row r="303" customFormat="false" ht="15.75" hidden="true" customHeight="false" outlineLevel="0" collapsed="false"/>
    <row r="304" customFormat="false" ht="15.75" hidden="true" customHeight="false" outlineLevel="0" collapsed="false"/>
    <row r="305" customFormat="false" ht="15.75" hidden="true" customHeight="false" outlineLevel="0" collapsed="false"/>
    <row r="306" customFormat="false" ht="15.75" hidden="true" customHeight="false" outlineLevel="0" collapsed="false"/>
    <row r="307" customFormat="false" ht="15.75" hidden="true" customHeight="false" outlineLevel="0" collapsed="false"/>
    <row r="308" customFormat="false" ht="15.75" hidden="true" customHeight="false" outlineLevel="0" collapsed="false"/>
    <row r="309" customFormat="false" ht="15.75" hidden="true" customHeight="false" outlineLevel="0" collapsed="false"/>
    <row r="310" customFormat="false" ht="15.75" hidden="true" customHeight="false" outlineLevel="0" collapsed="false"/>
    <row r="311" customFormat="false" ht="15.75" hidden="true" customHeight="false" outlineLevel="0" collapsed="false"/>
    <row r="312" customFormat="false" ht="15.75" hidden="true" customHeight="false" outlineLevel="0" collapsed="false"/>
    <row r="313" customFormat="false" ht="15.75" hidden="true" customHeight="false" outlineLevel="0" collapsed="false"/>
    <row r="314" customFormat="false" ht="15.75" hidden="true" customHeight="false" outlineLevel="0" collapsed="false"/>
    <row r="315" customFormat="false" ht="15.75" hidden="true" customHeight="false" outlineLevel="0" collapsed="false"/>
    <row r="316" customFormat="false" ht="15.75" hidden="true" customHeight="false" outlineLevel="0" collapsed="false"/>
    <row r="317" customFormat="false" ht="15.75" hidden="true" customHeight="false" outlineLevel="0" collapsed="false"/>
    <row r="318" customFormat="false" ht="15.75" hidden="true" customHeight="false" outlineLevel="0" collapsed="false"/>
    <row r="319" customFormat="false" ht="15.75" hidden="true" customHeight="false" outlineLevel="0" collapsed="false"/>
    <row r="320" customFormat="false" ht="15.75" hidden="true" customHeight="false" outlineLevel="0" collapsed="false"/>
    <row r="321" customFormat="false" ht="15.75" hidden="true" customHeight="false" outlineLevel="0" collapsed="false"/>
    <row r="322" customFormat="false" ht="15.75" hidden="true" customHeight="false" outlineLevel="0" collapsed="false"/>
    <row r="323" customFormat="false" ht="15.75" hidden="true" customHeight="false" outlineLevel="0" collapsed="false"/>
    <row r="324" customFormat="false" ht="15.75" hidden="true" customHeight="false" outlineLevel="0" collapsed="false"/>
    <row r="325" customFormat="false" ht="15.75" hidden="true" customHeight="false" outlineLevel="0" collapsed="false"/>
    <row r="326" customFormat="false" ht="15.75" hidden="true" customHeight="false" outlineLevel="0" collapsed="false"/>
    <row r="327" customFormat="false" ht="15.75" hidden="true" customHeight="false" outlineLevel="0" collapsed="false"/>
    <row r="328" customFormat="false" ht="15.75" hidden="true" customHeight="false" outlineLevel="0" collapsed="false"/>
    <row r="329" customFormat="false" ht="15.75" hidden="true" customHeight="false" outlineLevel="0" collapsed="false"/>
    <row r="330" customFormat="false" ht="15.75" hidden="true" customHeight="false" outlineLevel="0" collapsed="false"/>
    <row r="331" customFormat="false" ht="15.75" hidden="true" customHeight="false" outlineLevel="0" collapsed="false"/>
    <row r="332" customFormat="false" ht="15.75" hidden="true" customHeight="false" outlineLevel="0" collapsed="false"/>
    <row r="333" customFormat="false" ht="15.75" hidden="true" customHeight="false" outlineLevel="0" collapsed="false"/>
    <row r="334" customFormat="false" ht="15.75" hidden="true" customHeight="false" outlineLevel="0" collapsed="false"/>
    <row r="335" customFormat="false" ht="15.75" hidden="true" customHeight="false" outlineLevel="0" collapsed="false"/>
    <row r="336" customFormat="false" ht="15.75" hidden="true" customHeight="false" outlineLevel="0" collapsed="false"/>
    <row r="337" customFormat="false" ht="15.75" hidden="true" customHeight="false" outlineLevel="0" collapsed="false"/>
    <row r="338" customFormat="false" ht="15.75" hidden="true" customHeight="false" outlineLevel="0" collapsed="false"/>
    <row r="339" customFormat="false" ht="15.75" hidden="true" customHeight="false" outlineLevel="0" collapsed="false"/>
    <row r="340" customFormat="false" ht="15.75" hidden="true" customHeight="false" outlineLevel="0" collapsed="false"/>
    <row r="341" customFormat="false" ht="15.75" hidden="true" customHeight="false" outlineLevel="0" collapsed="false"/>
    <row r="342" customFormat="false" ht="15.75" hidden="true" customHeight="false" outlineLevel="0" collapsed="false"/>
    <row r="343" customFormat="false" ht="15.75" hidden="true" customHeight="false" outlineLevel="0" collapsed="false"/>
    <row r="344" customFormat="false" ht="15.75" hidden="true" customHeight="false" outlineLevel="0" collapsed="false"/>
    <row r="345" customFormat="false" ht="15.75" hidden="true" customHeight="false" outlineLevel="0" collapsed="false"/>
    <row r="346" customFormat="false" ht="15.75" hidden="true" customHeight="false" outlineLevel="0" collapsed="false"/>
    <row r="347" customFormat="false" ht="15.75" hidden="true" customHeight="false" outlineLevel="0" collapsed="false"/>
    <row r="348" customFormat="false" ht="15.75" hidden="true" customHeight="false" outlineLevel="0" collapsed="false"/>
    <row r="349" customFormat="false" ht="15.75" hidden="true" customHeight="false" outlineLevel="0" collapsed="false"/>
    <row r="350" customFormat="false" ht="15.75" hidden="true" customHeight="false" outlineLevel="0" collapsed="false"/>
    <row r="351" customFormat="false" ht="15.75" hidden="true" customHeight="false" outlineLevel="0" collapsed="false"/>
    <row r="352" customFormat="false" ht="15.75" hidden="true" customHeight="false" outlineLevel="0" collapsed="false"/>
    <row r="353" customFormat="false" ht="15.75" hidden="true" customHeight="false" outlineLevel="0" collapsed="false"/>
    <row r="354" customFormat="false" ht="15.75" hidden="true" customHeight="false" outlineLevel="0" collapsed="false"/>
    <row r="355" customFormat="false" ht="15.75" hidden="true" customHeight="false" outlineLevel="0" collapsed="false"/>
    <row r="356" customFormat="false" ht="15.75" hidden="true" customHeight="false" outlineLevel="0" collapsed="false"/>
    <row r="357" customFormat="false" ht="15.75" hidden="true" customHeight="false" outlineLevel="0" collapsed="false"/>
    <row r="358" customFormat="false" ht="15.75" hidden="true" customHeight="false" outlineLevel="0" collapsed="false"/>
    <row r="359" customFormat="false" ht="15.75" hidden="true" customHeight="false" outlineLevel="0" collapsed="false"/>
    <row r="360" customFormat="false" ht="15.75" hidden="true" customHeight="false" outlineLevel="0" collapsed="false"/>
    <row r="361" customFormat="false" ht="15.75" hidden="true" customHeight="false" outlineLevel="0" collapsed="false"/>
    <row r="362" customFormat="false" ht="15.75" hidden="true" customHeight="false" outlineLevel="0" collapsed="false"/>
    <row r="363" customFormat="false" ht="15.75" hidden="true" customHeight="false" outlineLevel="0" collapsed="false"/>
    <row r="364" customFormat="false" ht="15.75" hidden="true" customHeight="false" outlineLevel="0" collapsed="false"/>
    <row r="365" customFormat="false" ht="15.75" hidden="true" customHeight="false" outlineLevel="0" collapsed="false"/>
    <row r="366" customFormat="false" ht="15.75" hidden="true" customHeight="false" outlineLevel="0" collapsed="false"/>
    <row r="367" customFormat="false" ht="15.75" hidden="true" customHeight="false" outlineLevel="0" collapsed="false"/>
    <row r="368" customFormat="false" ht="15.75" hidden="true" customHeight="false" outlineLevel="0" collapsed="false"/>
    <row r="369" customFormat="false" ht="15.75" hidden="true" customHeight="false" outlineLevel="0" collapsed="false"/>
    <row r="370" customFormat="false" ht="15.75" hidden="true" customHeight="false" outlineLevel="0" collapsed="false"/>
    <row r="371" customFormat="false" ht="15.75" hidden="true" customHeight="false" outlineLevel="0" collapsed="false"/>
    <row r="372" customFormat="false" ht="15.75" hidden="true" customHeight="false" outlineLevel="0" collapsed="false"/>
    <row r="373" customFormat="false" ht="15.75" hidden="true" customHeight="false" outlineLevel="0" collapsed="false"/>
    <row r="374" customFormat="false" ht="15.75" hidden="true" customHeight="false" outlineLevel="0" collapsed="false"/>
    <row r="375" customFormat="false" ht="15.75" hidden="true" customHeight="false" outlineLevel="0" collapsed="false"/>
    <row r="376" customFormat="false" ht="15.75" hidden="true" customHeight="false" outlineLevel="0" collapsed="false"/>
    <row r="377" customFormat="false" ht="15.75" hidden="true" customHeight="false" outlineLevel="0" collapsed="false"/>
    <row r="378" customFormat="false" ht="15.75" hidden="true" customHeight="false" outlineLevel="0" collapsed="false"/>
    <row r="379" customFormat="false" ht="15.75" hidden="true" customHeight="false" outlineLevel="0" collapsed="false"/>
    <row r="380" customFormat="false" ht="15.75" hidden="true" customHeight="false" outlineLevel="0" collapsed="false"/>
    <row r="381" customFormat="false" ht="15.75" hidden="true" customHeight="false" outlineLevel="0" collapsed="false"/>
    <row r="382" customFormat="false" ht="15.75" hidden="true" customHeight="false" outlineLevel="0" collapsed="false"/>
    <row r="383" customFormat="false" ht="15.75" hidden="true" customHeight="false" outlineLevel="0" collapsed="false"/>
    <row r="384" customFormat="false" ht="15.75" hidden="true" customHeight="false" outlineLevel="0" collapsed="false"/>
    <row r="385" customFormat="false" ht="15.75" hidden="true" customHeight="false" outlineLevel="0" collapsed="false"/>
    <row r="386" customFormat="false" ht="15.75" hidden="true" customHeight="false" outlineLevel="0" collapsed="false"/>
    <row r="387" customFormat="false" ht="15.75" hidden="true" customHeight="false" outlineLevel="0" collapsed="false"/>
    <row r="388" customFormat="false" ht="15.75" hidden="true" customHeight="false" outlineLevel="0" collapsed="false"/>
    <row r="389" customFormat="false" ht="15.75" hidden="true" customHeight="false" outlineLevel="0" collapsed="false"/>
    <row r="390" customFormat="false" ht="15.75" hidden="true" customHeight="false" outlineLevel="0" collapsed="false"/>
    <row r="391" customFormat="false" ht="15.75" hidden="true" customHeight="false" outlineLevel="0" collapsed="false"/>
    <row r="392" customFormat="false" ht="15.75" hidden="true" customHeight="false" outlineLevel="0" collapsed="false"/>
    <row r="393" customFormat="false" ht="15.75" hidden="true" customHeight="false" outlineLevel="0" collapsed="false"/>
    <row r="394" customFormat="false" ht="15.75" hidden="true" customHeight="false" outlineLevel="0" collapsed="false"/>
    <row r="395" customFormat="false" ht="15.75" hidden="true" customHeight="false" outlineLevel="0" collapsed="false"/>
    <row r="396" customFormat="false" ht="15.75" hidden="true" customHeight="false" outlineLevel="0" collapsed="false"/>
    <row r="397" customFormat="false" ht="15.75" hidden="true" customHeight="false" outlineLevel="0" collapsed="false"/>
    <row r="398" customFormat="false" ht="15.75" hidden="true" customHeight="false" outlineLevel="0" collapsed="false"/>
    <row r="399" customFormat="false" ht="15.75" hidden="true" customHeight="false" outlineLevel="0" collapsed="false"/>
    <row r="400" customFormat="false" ht="15.75" hidden="true" customHeight="false" outlineLevel="0" collapsed="false"/>
    <row r="401" customFormat="false" ht="15.75" hidden="true" customHeight="false" outlineLevel="0" collapsed="false"/>
    <row r="402" customFormat="false" ht="15.75" hidden="true" customHeight="false" outlineLevel="0" collapsed="false"/>
    <row r="403" customFormat="false" ht="15.75" hidden="true" customHeight="false" outlineLevel="0" collapsed="false"/>
    <row r="404" customFormat="false" ht="15.75" hidden="true" customHeight="false" outlineLevel="0" collapsed="false"/>
    <row r="405" customFormat="false" ht="15.75" hidden="true" customHeight="false" outlineLevel="0" collapsed="false"/>
    <row r="406" customFormat="false" ht="15.75" hidden="true" customHeight="false" outlineLevel="0" collapsed="false"/>
    <row r="407" customFormat="false" ht="15.75" hidden="true" customHeight="false" outlineLevel="0" collapsed="false"/>
    <row r="408" customFormat="false" ht="15.75" hidden="true" customHeight="false" outlineLevel="0" collapsed="false"/>
    <row r="409" customFormat="false" ht="15.75" hidden="true" customHeight="false" outlineLevel="0" collapsed="false"/>
    <row r="410" customFormat="false" ht="15.75" hidden="true" customHeight="false" outlineLevel="0" collapsed="false"/>
    <row r="411" customFormat="false" ht="15.75" hidden="true" customHeight="false" outlineLevel="0" collapsed="false"/>
    <row r="412" customFormat="false" ht="15.75" hidden="true" customHeight="false" outlineLevel="0" collapsed="false"/>
    <row r="413" customFormat="false" ht="15.75" hidden="true" customHeight="false" outlineLevel="0" collapsed="false"/>
    <row r="414" customFormat="false" ht="15.75" hidden="true" customHeight="false" outlineLevel="0" collapsed="false"/>
    <row r="415" customFormat="false" ht="15.75" hidden="true" customHeight="false" outlineLevel="0" collapsed="false"/>
    <row r="416" customFormat="false" ht="15.75" hidden="true" customHeight="false" outlineLevel="0" collapsed="false"/>
    <row r="417" customFormat="false" ht="15.75" hidden="true" customHeight="false" outlineLevel="0" collapsed="false"/>
    <row r="418" customFormat="false" ht="15.75" hidden="true" customHeight="false" outlineLevel="0" collapsed="false"/>
    <row r="419" customFormat="false" ht="15.75" hidden="true" customHeight="false" outlineLevel="0" collapsed="false"/>
    <row r="420" customFormat="false" ht="15.75" hidden="true" customHeight="false" outlineLevel="0" collapsed="false"/>
    <row r="421" customFormat="false" ht="15.75" hidden="true" customHeight="false" outlineLevel="0" collapsed="false"/>
    <row r="422" customFormat="false" ht="15.75" hidden="true" customHeight="false" outlineLevel="0" collapsed="false"/>
    <row r="423" customFormat="false" ht="15.75" hidden="true" customHeight="false" outlineLevel="0" collapsed="false"/>
    <row r="424" customFormat="false" ht="15.75" hidden="true" customHeight="false" outlineLevel="0" collapsed="false"/>
    <row r="425" customFormat="false" ht="15.75" hidden="true" customHeight="false" outlineLevel="0" collapsed="false"/>
    <row r="426" customFormat="false" ht="15.75" hidden="true" customHeight="false" outlineLevel="0" collapsed="false"/>
    <row r="427" customFormat="false" ht="15.75" hidden="true" customHeight="false" outlineLevel="0" collapsed="false"/>
    <row r="428" customFormat="false" ht="15.75" hidden="true" customHeight="false" outlineLevel="0" collapsed="false"/>
    <row r="429" customFormat="false" ht="15.75" hidden="true" customHeight="false" outlineLevel="0" collapsed="false"/>
    <row r="430" customFormat="false" ht="15.75" hidden="true" customHeight="false" outlineLevel="0" collapsed="false"/>
    <row r="431" customFormat="false" ht="15.75" hidden="true" customHeight="false" outlineLevel="0" collapsed="false"/>
    <row r="432" customFormat="false" ht="15.75" hidden="true" customHeight="false" outlineLevel="0" collapsed="false"/>
    <row r="433" customFormat="false" ht="15.75" hidden="true" customHeight="false" outlineLevel="0" collapsed="false"/>
    <row r="434" customFormat="false" ht="15.75" hidden="true" customHeight="false" outlineLevel="0" collapsed="false"/>
    <row r="435" customFormat="false" ht="15.75" hidden="true" customHeight="false" outlineLevel="0" collapsed="false"/>
    <row r="436" customFormat="false" ht="15.75" hidden="true" customHeight="false" outlineLevel="0" collapsed="false"/>
    <row r="437" customFormat="false" ht="15.75" hidden="true" customHeight="false" outlineLevel="0" collapsed="false"/>
    <row r="438" customFormat="false" ht="15.75" hidden="true" customHeight="false" outlineLevel="0" collapsed="false"/>
    <row r="439" customFormat="false" ht="15.75" hidden="true" customHeight="false" outlineLevel="0" collapsed="false"/>
    <row r="440" customFormat="false" ht="15.75" hidden="true" customHeight="false" outlineLevel="0" collapsed="false"/>
    <row r="441" customFormat="false" ht="15.75" hidden="true" customHeight="false" outlineLevel="0" collapsed="false"/>
    <row r="442" customFormat="false" ht="15.75" hidden="true" customHeight="false" outlineLevel="0" collapsed="false"/>
    <row r="443" customFormat="false" ht="15.75" hidden="true" customHeight="false" outlineLevel="0" collapsed="false"/>
    <row r="444" customFormat="false" ht="15.75" hidden="true" customHeight="false" outlineLevel="0" collapsed="false"/>
    <row r="445" customFormat="false" ht="15.75" hidden="true" customHeight="false" outlineLevel="0" collapsed="false"/>
    <row r="446" customFormat="false" ht="15.75" hidden="true" customHeight="false" outlineLevel="0" collapsed="false"/>
    <row r="447" customFormat="false" ht="15.75" hidden="true" customHeight="false" outlineLevel="0" collapsed="false"/>
    <row r="448" customFormat="false" ht="15.75" hidden="true" customHeight="false" outlineLevel="0" collapsed="false"/>
    <row r="449" customFormat="false" ht="15.75" hidden="true" customHeight="false" outlineLevel="0" collapsed="false"/>
    <row r="450" customFormat="false" ht="15.75" hidden="true" customHeight="false" outlineLevel="0" collapsed="false"/>
    <row r="451" customFormat="false" ht="15.75" hidden="true" customHeight="false" outlineLevel="0" collapsed="false"/>
    <row r="452" customFormat="false" ht="15.75" hidden="true" customHeight="false" outlineLevel="0" collapsed="false"/>
    <row r="453" customFormat="false" ht="15.75" hidden="true" customHeight="false" outlineLevel="0" collapsed="false"/>
    <row r="454" customFormat="false" ht="15.75" hidden="true" customHeight="false" outlineLevel="0" collapsed="false"/>
    <row r="455" customFormat="false" ht="15.75" hidden="true" customHeight="false" outlineLevel="0" collapsed="false"/>
    <row r="456" customFormat="false" ht="15.75" hidden="true" customHeight="false" outlineLevel="0" collapsed="false"/>
    <row r="457" customFormat="false" ht="15.75" hidden="true" customHeight="false" outlineLevel="0" collapsed="false"/>
    <row r="458" customFormat="false" ht="15.75" hidden="true" customHeight="false" outlineLevel="0" collapsed="false"/>
    <row r="459" customFormat="false" ht="15.75" hidden="true" customHeight="false" outlineLevel="0" collapsed="false"/>
    <row r="460" customFormat="false" ht="15.75" hidden="true" customHeight="false" outlineLevel="0" collapsed="false"/>
    <row r="461" customFormat="false" ht="15.75" hidden="true" customHeight="false" outlineLevel="0" collapsed="false"/>
    <row r="462" customFormat="false" ht="15.75" hidden="true" customHeight="false" outlineLevel="0" collapsed="false"/>
    <row r="463" customFormat="false" ht="15.75" hidden="true" customHeight="false" outlineLevel="0" collapsed="false"/>
    <row r="464" customFormat="false" ht="15.75" hidden="true" customHeight="false" outlineLevel="0" collapsed="false"/>
    <row r="465" customFormat="false" ht="15.75" hidden="true" customHeight="false" outlineLevel="0" collapsed="false"/>
    <row r="466" customFormat="false" ht="15.75" hidden="true" customHeight="false" outlineLevel="0" collapsed="false"/>
    <row r="467" customFormat="false" ht="15.75" hidden="true" customHeight="false" outlineLevel="0" collapsed="false"/>
    <row r="468" customFormat="false" ht="15.75" hidden="true" customHeight="false" outlineLevel="0" collapsed="false"/>
    <row r="469" customFormat="false" ht="15.75" hidden="true" customHeight="false" outlineLevel="0" collapsed="false"/>
    <row r="470" customFormat="false" ht="15.75" hidden="true" customHeight="false" outlineLevel="0" collapsed="false"/>
    <row r="471" customFormat="false" ht="15.75" hidden="true" customHeight="false" outlineLevel="0" collapsed="false"/>
    <row r="472" customFormat="false" ht="15.75" hidden="true" customHeight="false" outlineLevel="0" collapsed="false"/>
    <row r="473" customFormat="false" ht="15.75" hidden="true" customHeight="false" outlineLevel="0" collapsed="false"/>
    <row r="474" customFormat="false" ht="15.75" hidden="true" customHeight="false" outlineLevel="0" collapsed="false"/>
    <row r="475" customFormat="false" ht="15.75" hidden="true" customHeight="false" outlineLevel="0" collapsed="false"/>
    <row r="476" customFormat="false" ht="15.75" hidden="true" customHeight="false" outlineLevel="0" collapsed="false"/>
    <row r="477" customFormat="false" ht="15.75" hidden="true" customHeight="false" outlineLevel="0" collapsed="false"/>
    <row r="478" customFormat="false" ht="15.75" hidden="true" customHeight="false" outlineLevel="0" collapsed="false"/>
    <row r="479" customFormat="false" ht="15.75" hidden="true" customHeight="false" outlineLevel="0" collapsed="false"/>
    <row r="480" customFormat="false" ht="15.75" hidden="true" customHeight="false" outlineLevel="0" collapsed="false"/>
    <row r="481" customFormat="false" ht="15.75" hidden="true" customHeight="false" outlineLevel="0" collapsed="false"/>
    <row r="482" customFormat="false" ht="15.75" hidden="true" customHeight="false" outlineLevel="0" collapsed="false"/>
    <row r="483" customFormat="false" ht="15.75" hidden="true" customHeight="false" outlineLevel="0" collapsed="false"/>
    <row r="484" customFormat="false" ht="15.75" hidden="true" customHeight="false" outlineLevel="0" collapsed="false"/>
    <row r="485" customFormat="false" ht="15.75" hidden="true" customHeight="false" outlineLevel="0" collapsed="false"/>
    <row r="486" customFormat="false" ht="15.75" hidden="true" customHeight="false" outlineLevel="0" collapsed="false"/>
    <row r="487" customFormat="false" ht="15.75" hidden="true" customHeight="false" outlineLevel="0" collapsed="false"/>
    <row r="488" customFormat="false" ht="15.75" hidden="true" customHeight="false" outlineLevel="0" collapsed="false"/>
    <row r="489" customFormat="false" ht="15.75" hidden="true" customHeight="false" outlineLevel="0" collapsed="false"/>
    <row r="490" customFormat="false" ht="15.75" hidden="true" customHeight="false" outlineLevel="0" collapsed="false"/>
    <row r="491" customFormat="false" ht="15.75" hidden="true" customHeight="false" outlineLevel="0" collapsed="false"/>
    <row r="492" customFormat="false" ht="15.75" hidden="true" customHeight="false" outlineLevel="0" collapsed="false"/>
    <row r="493" customFormat="false" ht="15.75" hidden="true" customHeight="false" outlineLevel="0" collapsed="false"/>
    <row r="494" customFormat="false" ht="15.75" hidden="true" customHeight="false" outlineLevel="0" collapsed="false"/>
    <row r="495" customFormat="false" ht="15.75" hidden="true" customHeight="false" outlineLevel="0" collapsed="false"/>
    <row r="496" customFormat="false" ht="15.75" hidden="true" customHeight="false" outlineLevel="0" collapsed="false"/>
    <row r="497" customFormat="false" ht="15.75" hidden="true" customHeight="false" outlineLevel="0" collapsed="false"/>
    <row r="498" customFormat="false" ht="15.75" hidden="true" customHeight="false" outlineLevel="0" collapsed="false"/>
    <row r="499" customFormat="false" ht="15.75" hidden="true" customHeight="false" outlineLevel="0" collapsed="false"/>
    <row r="500" customFormat="false" ht="15.75" hidden="true" customHeight="false" outlineLevel="0" collapsed="false"/>
    <row r="501" customFormat="false" ht="15.75" hidden="true" customHeight="false" outlineLevel="0" collapsed="false"/>
    <row r="502" customFormat="false" ht="15.75" hidden="true" customHeight="false" outlineLevel="0" collapsed="false"/>
    <row r="503" customFormat="false" ht="15.75" hidden="true" customHeight="false" outlineLevel="0" collapsed="false"/>
    <row r="504" customFormat="false" ht="15.75" hidden="true" customHeight="false" outlineLevel="0" collapsed="false"/>
    <row r="505" customFormat="false" ht="15.75" hidden="true" customHeight="false" outlineLevel="0" collapsed="false"/>
    <row r="506" customFormat="false" ht="15.75" hidden="true" customHeight="false" outlineLevel="0" collapsed="false"/>
    <row r="507" customFormat="false" ht="15.75" hidden="true" customHeight="false" outlineLevel="0" collapsed="false"/>
    <row r="508" customFormat="false" ht="15.75" hidden="true" customHeight="false" outlineLevel="0" collapsed="false"/>
    <row r="509" customFormat="false" ht="15.75" hidden="true" customHeight="false" outlineLevel="0" collapsed="false"/>
    <row r="510" customFormat="false" ht="15.75" hidden="true" customHeight="false" outlineLevel="0" collapsed="false"/>
    <row r="511" customFormat="false" ht="15.75" hidden="true" customHeight="false" outlineLevel="0" collapsed="false"/>
    <row r="512" customFormat="false" ht="15.75" hidden="true" customHeight="false" outlineLevel="0" collapsed="false"/>
    <row r="513" customFormat="false" ht="15.75" hidden="true" customHeight="false" outlineLevel="0" collapsed="false"/>
    <row r="514" customFormat="false" ht="15.75" hidden="true" customHeight="false" outlineLevel="0" collapsed="false"/>
    <row r="515" customFormat="false" ht="15.75" hidden="true" customHeight="false" outlineLevel="0" collapsed="false"/>
    <row r="516" customFormat="false" ht="15.75" hidden="true" customHeight="false" outlineLevel="0" collapsed="false"/>
    <row r="517" customFormat="false" ht="15.75" hidden="true" customHeight="false" outlineLevel="0" collapsed="false"/>
    <row r="518" customFormat="false" ht="15.75" hidden="true" customHeight="false" outlineLevel="0" collapsed="false"/>
    <row r="519" customFormat="false" ht="15.75" hidden="true" customHeight="false" outlineLevel="0" collapsed="false"/>
    <row r="520" customFormat="false" ht="15.75" hidden="true" customHeight="false" outlineLevel="0" collapsed="false"/>
    <row r="521" customFormat="false" ht="15.75" hidden="true" customHeight="false" outlineLevel="0" collapsed="false"/>
    <row r="522" customFormat="false" ht="15.75" hidden="true" customHeight="false" outlineLevel="0" collapsed="false"/>
    <row r="523" customFormat="false" ht="15.75" hidden="true" customHeight="false" outlineLevel="0" collapsed="false"/>
    <row r="524" customFormat="false" ht="15.75" hidden="true" customHeight="false" outlineLevel="0" collapsed="false"/>
    <row r="525" customFormat="false" ht="15.75" hidden="true" customHeight="false" outlineLevel="0" collapsed="false"/>
    <row r="526" customFormat="false" ht="15.75" hidden="true" customHeight="false" outlineLevel="0" collapsed="false"/>
    <row r="527" customFormat="false" ht="15.75" hidden="true" customHeight="false" outlineLevel="0" collapsed="false"/>
    <row r="528" customFormat="false" ht="15.75" hidden="true" customHeight="false" outlineLevel="0" collapsed="false"/>
    <row r="529" customFormat="false" ht="15.75" hidden="true" customHeight="false" outlineLevel="0" collapsed="false"/>
    <row r="530" customFormat="false" ht="15.75" hidden="true" customHeight="false" outlineLevel="0" collapsed="false"/>
    <row r="531" customFormat="false" ht="15.75" hidden="true" customHeight="false" outlineLevel="0" collapsed="false"/>
    <row r="532" customFormat="false" ht="15.75" hidden="true" customHeight="false" outlineLevel="0" collapsed="false"/>
    <row r="533" customFormat="false" ht="15.75" hidden="true" customHeight="false" outlineLevel="0" collapsed="false"/>
    <row r="534" customFormat="false" ht="15.75" hidden="true" customHeight="false" outlineLevel="0" collapsed="false"/>
    <row r="535" customFormat="false" ht="15.75" hidden="true" customHeight="false" outlineLevel="0" collapsed="false"/>
    <row r="536" customFormat="false" ht="15.75" hidden="true" customHeight="false" outlineLevel="0" collapsed="false"/>
    <row r="537" customFormat="false" ht="15.75" hidden="true" customHeight="false" outlineLevel="0" collapsed="false"/>
    <row r="538" customFormat="false" ht="15.75" hidden="true" customHeight="false" outlineLevel="0" collapsed="false"/>
    <row r="539" customFormat="false" ht="15.75" hidden="true" customHeight="false" outlineLevel="0" collapsed="false"/>
    <row r="540" customFormat="false" ht="15.75" hidden="true" customHeight="false" outlineLevel="0" collapsed="false"/>
    <row r="541" customFormat="false" ht="15.75" hidden="true" customHeight="false" outlineLevel="0" collapsed="false"/>
    <row r="542" customFormat="false" ht="15.75" hidden="true" customHeight="false" outlineLevel="0" collapsed="false"/>
    <row r="543" customFormat="false" ht="15.75" hidden="true" customHeight="false" outlineLevel="0" collapsed="false"/>
    <row r="544" customFormat="false" ht="15.75" hidden="true" customHeight="false" outlineLevel="0" collapsed="false"/>
    <row r="545" customFormat="false" ht="15.75" hidden="true" customHeight="false" outlineLevel="0" collapsed="false"/>
    <row r="546" customFormat="false" ht="15.75" hidden="true" customHeight="false" outlineLevel="0" collapsed="false"/>
    <row r="547" customFormat="false" ht="15.75" hidden="true" customHeight="false" outlineLevel="0" collapsed="false"/>
    <row r="548" customFormat="false" ht="15.75" hidden="true" customHeight="false" outlineLevel="0" collapsed="false"/>
    <row r="549" customFormat="false" ht="15.75" hidden="true" customHeight="false" outlineLevel="0" collapsed="false"/>
    <row r="550" customFormat="false" ht="15.75" hidden="true" customHeight="false" outlineLevel="0" collapsed="false"/>
    <row r="551" customFormat="false" ht="15.75" hidden="true" customHeight="false" outlineLevel="0" collapsed="false"/>
    <row r="552" customFormat="false" ht="15.75" hidden="true" customHeight="false" outlineLevel="0" collapsed="false"/>
    <row r="553" customFormat="false" ht="15.75" hidden="true" customHeight="false" outlineLevel="0" collapsed="false"/>
    <row r="554" customFormat="false" ht="15.75" hidden="true" customHeight="false" outlineLevel="0" collapsed="false"/>
    <row r="555" customFormat="false" ht="15.75" hidden="true" customHeight="false" outlineLevel="0" collapsed="false"/>
    <row r="556" customFormat="false" ht="15.75" hidden="true" customHeight="false" outlineLevel="0" collapsed="false"/>
    <row r="557" customFormat="false" ht="15.75" hidden="true" customHeight="false" outlineLevel="0" collapsed="false"/>
    <row r="558" customFormat="false" ht="15.75" hidden="true" customHeight="false" outlineLevel="0" collapsed="false"/>
    <row r="559" customFormat="false" ht="15.75" hidden="true" customHeight="false" outlineLevel="0" collapsed="false"/>
    <row r="560" customFormat="false" ht="15.75" hidden="true" customHeight="false" outlineLevel="0" collapsed="false"/>
    <row r="561" customFormat="false" ht="15.75" hidden="true" customHeight="false" outlineLevel="0" collapsed="false"/>
    <row r="562" customFormat="false" ht="15.75" hidden="true" customHeight="false" outlineLevel="0" collapsed="false"/>
    <row r="563" customFormat="false" ht="15.75" hidden="true" customHeight="false" outlineLevel="0" collapsed="false"/>
    <row r="564" customFormat="false" ht="15.75" hidden="true" customHeight="false" outlineLevel="0" collapsed="false"/>
    <row r="565" customFormat="false" ht="15.75" hidden="true" customHeight="false" outlineLevel="0" collapsed="false"/>
    <row r="566" customFormat="false" ht="15.75" hidden="true" customHeight="false" outlineLevel="0" collapsed="false"/>
    <row r="567" customFormat="false" ht="15.75" hidden="true" customHeight="false" outlineLevel="0" collapsed="false"/>
    <row r="568" customFormat="false" ht="15.75" hidden="true" customHeight="false" outlineLevel="0" collapsed="false"/>
    <row r="569" customFormat="false" ht="15.75" hidden="true" customHeight="false" outlineLevel="0" collapsed="false"/>
    <row r="570" customFormat="false" ht="15.75" hidden="true" customHeight="false" outlineLevel="0" collapsed="false"/>
    <row r="571" customFormat="false" ht="15.75" hidden="true" customHeight="false" outlineLevel="0" collapsed="false"/>
    <row r="572" customFormat="false" ht="15.75" hidden="true" customHeight="false" outlineLevel="0" collapsed="false"/>
    <row r="573" customFormat="false" ht="15.75" hidden="true" customHeight="false" outlineLevel="0" collapsed="false"/>
    <row r="574" customFormat="false" ht="15.75" hidden="true" customHeight="false" outlineLevel="0" collapsed="false"/>
    <row r="575" customFormat="false" ht="15.75" hidden="true" customHeight="false" outlineLevel="0" collapsed="false"/>
    <row r="576" customFormat="false" ht="15.75" hidden="true" customHeight="false" outlineLevel="0" collapsed="false"/>
    <row r="577" customFormat="false" ht="15.75" hidden="true" customHeight="false" outlineLevel="0" collapsed="false"/>
    <row r="578" customFormat="false" ht="15.75" hidden="true" customHeight="false" outlineLevel="0" collapsed="false"/>
    <row r="579" customFormat="false" ht="15.75" hidden="true" customHeight="false" outlineLevel="0" collapsed="false"/>
    <row r="580" customFormat="false" ht="15.75" hidden="true" customHeight="false" outlineLevel="0" collapsed="false"/>
    <row r="581" customFormat="false" ht="15.75" hidden="true" customHeight="false" outlineLevel="0" collapsed="false"/>
    <row r="582" customFormat="false" ht="15.75" hidden="true" customHeight="false" outlineLevel="0" collapsed="false"/>
    <row r="583" customFormat="false" ht="15.75" hidden="true" customHeight="false" outlineLevel="0" collapsed="false"/>
    <row r="584" customFormat="false" ht="15.75" hidden="true" customHeight="false" outlineLevel="0" collapsed="false"/>
    <row r="585" customFormat="false" ht="15.75" hidden="true" customHeight="false" outlineLevel="0" collapsed="false"/>
    <row r="586" customFormat="false" ht="15.75" hidden="true" customHeight="false" outlineLevel="0" collapsed="false"/>
    <row r="587" customFormat="false" ht="15.75" hidden="true" customHeight="false" outlineLevel="0" collapsed="false"/>
    <row r="588" customFormat="false" ht="15.75" hidden="true" customHeight="false" outlineLevel="0" collapsed="false"/>
    <row r="589" customFormat="false" ht="15.75" hidden="true" customHeight="false" outlineLevel="0" collapsed="false"/>
    <row r="590" customFormat="false" ht="15.75" hidden="true" customHeight="false" outlineLevel="0" collapsed="false"/>
    <row r="591" customFormat="false" ht="15.75" hidden="true" customHeight="false" outlineLevel="0" collapsed="false"/>
    <row r="592" customFormat="false" ht="15.75" hidden="true" customHeight="false" outlineLevel="0" collapsed="false"/>
    <row r="593" customFormat="false" ht="15.75" hidden="true" customHeight="false" outlineLevel="0" collapsed="false"/>
    <row r="594" customFormat="false" ht="15.75" hidden="true" customHeight="false" outlineLevel="0" collapsed="false"/>
    <row r="595" customFormat="false" ht="15.75" hidden="true" customHeight="false" outlineLevel="0" collapsed="false"/>
    <row r="596" customFormat="false" ht="15.75" hidden="true" customHeight="false" outlineLevel="0" collapsed="false"/>
    <row r="597" customFormat="false" ht="15.75" hidden="true" customHeight="false" outlineLevel="0" collapsed="false"/>
    <row r="598" customFormat="false" ht="15.75" hidden="true" customHeight="false" outlineLevel="0" collapsed="false"/>
    <row r="599" customFormat="false" ht="15.75" hidden="true" customHeight="false" outlineLevel="0" collapsed="false"/>
    <row r="600" customFormat="false" ht="15.75" hidden="true" customHeight="false" outlineLevel="0" collapsed="false"/>
    <row r="601" customFormat="false" ht="15.75" hidden="true" customHeight="false" outlineLevel="0" collapsed="false"/>
    <row r="602" customFormat="false" ht="15.75" hidden="true" customHeight="false" outlineLevel="0" collapsed="false"/>
    <row r="603" customFormat="false" ht="15.75" hidden="true" customHeight="false" outlineLevel="0" collapsed="false"/>
    <row r="604" customFormat="false" ht="15.75" hidden="true" customHeight="false" outlineLevel="0" collapsed="false"/>
    <row r="605" customFormat="false" ht="15.75" hidden="true" customHeight="false" outlineLevel="0" collapsed="false"/>
    <row r="606" customFormat="false" ht="15.75" hidden="true" customHeight="false" outlineLevel="0" collapsed="false"/>
    <row r="607" customFormat="false" ht="15.75" hidden="true" customHeight="false" outlineLevel="0" collapsed="false"/>
    <row r="608" customFormat="false" ht="15.75" hidden="true" customHeight="false" outlineLevel="0" collapsed="false"/>
    <row r="609" customFormat="false" ht="15.75" hidden="true" customHeight="false" outlineLevel="0" collapsed="false"/>
    <row r="610" customFormat="false" ht="15.75" hidden="true" customHeight="false" outlineLevel="0" collapsed="false"/>
    <row r="611" customFormat="false" ht="15.75" hidden="true" customHeight="false" outlineLevel="0" collapsed="false"/>
    <row r="612" customFormat="false" ht="15.75" hidden="true" customHeight="false" outlineLevel="0" collapsed="false"/>
    <row r="613" customFormat="false" ht="15.75" hidden="true" customHeight="false" outlineLevel="0" collapsed="false"/>
    <row r="614" customFormat="false" ht="15.75" hidden="true" customHeight="false" outlineLevel="0" collapsed="false"/>
    <row r="615" customFormat="false" ht="15.75" hidden="true" customHeight="false" outlineLevel="0" collapsed="false"/>
    <row r="616" customFormat="false" ht="15.75" hidden="true" customHeight="false" outlineLevel="0" collapsed="false"/>
    <row r="617" customFormat="false" ht="15.75" hidden="true" customHeight="false" outlineLevel="0" collapsed="false"/>
    <row r="618" customFormat="false" ht="15.75" hidden="true" customHeight="false" outlineLevel="0" collapsed="false"/>
    <row r="619" customFormat="false" ht="15.75" hidden="true" customHeight="false" outlineLevel="0" collapsed="false"/>
    <row r="620" customFormat="false" ht="15.75" hidden="true" customHeight="false" outlineLevel="0" collapsed="false"/>
    <row r="621" customFormat="false" ht="15.75" hidden="true" customHeight="false" outlineLevel="0" collapsed="false"/>
    <row r="622" customFormat="false" ht="15.75" hidden="true" customHeight="false" outlineLevel="0" collapsed="false"/>
    <row r="623" customFormat="false" ht="15.75" hidden="true" customHeight="false" outlineLevel="0" collapsed="false"/>
    <row r="624" customFormat="false" ht="15.75" hidden="true" customHeight="false" outlineLevel="0" collapsed="false"/>
    <row r="625" customFormat="false" ht="15.75" hidden="true" customHeight="false" outlineLevel="0" collapsed="false"/>
    <row r="626" customFormat="false" ht="15.75" hidden="true" customHeight="false" outlineLevel="0" collapsed="false"/>
    <row r="627" customFormat="false" ht="15.75" hidden="true" customHeight="false" outlineLevel="0" collapsed="false"/>
    <row r="628" customFormat="false" ht="15.75" hidden="true" customHeight="false" outlineLevel="0" collapsed="false"/>
    <row r="629" customFormat="false" ht="15.75" hidden="true" customHeight="false" outlineLevel="0" collapsed="false"/>
    <row r="630" customFormat="false" ht="15.75" hidden="true" customHeight="false" outlineLevel="0" collapsed="false"/>
    <row r="631" customFormat="false" ht="15.75" hidden="true" customHeight="false" outlineLevel="0" collapsed="false"/>
    <row r="632" customFormat="false" ht="15.75" hidden="true" customHeight="false" outlineLevel="0" collapsed="false"/>
    <row r="633" customFormat="false" ht="15.75" hidden="true" customHeight="false" outlineLevel="0" collapsed="false"/>
    <row r="634" customFormat="false" ht="15.75" hidden="true" customHeight="false" outlineLevel="0" collapsed="false"/>
    <row r="635" customFormat="false" ht="15.75" hidden="true" customHeight="false" outlineLevel="0" collapsed="false"/>
    <row r="636" customFormat="false" ht="15.75" hidden="true" customHeight="false" outlineLevel="0" collapsed="false"/>
    <row r="637" customFormat="false" ht="15.75" hidden="true" customHeight="false" outlineLevel="0" collapsed="false"/>
    <row r="638" customFormat="false" ht="15.75" hidden="true" customHeight="false" outlineLevel="0" collapsed="false"/>
    <row r="639" customFormat="false" ht="15.75" hidden="true" customHeight="false" outlineLevel="0" collapsed="false"/>
    <row r="640" customFormat="false" ht="15.75" hidden="true" customHeight="false" outlineLevel="0" collapsed="false"/>
    <row r="641" customFormat="false" ht="15.75" hidden="true" customHeight="false" outlineLevel="0" collapsed="false"/>
    <row r="642" customFormat="false" ht="15.75" hidden="true" customHeight="false" outlineLevel="0" collapsed="false"/>
    <row r="643" customFormat="false" ht="15.75" hidden="true" customHeight="false" outlineLevel="0" collapsed="false"/>
    <row r="644" customFormat="false" ht="15.75" hidden="true" customHeight="false" outlineLevel="0" collapsed="false"/>
    <row r="645" customFormat="false" ht="15.75" hidden="true" customHeight="false" outlineLevel="0" collapsed="false"/>
    <row r="646" customFormat="false" ht="15.75" hidden="true" customHeight="false" outlineLevel="0" collapsed="false"/>
    <row r="647" customFormat="false" ht="15.75" hidden="true" customHeight="false" outlineLevel="0" collapsed="false"/>
    <row r="648" customFormat="false" ht="15.75" hidden="true" customHeight="false" outlineLevel="0" collapsed="false"/>
    <row r="649" customFormat="false" ht="15.75" hidden="true" customHeight="false" outlineLevel="0" collapsed="false"/>
    <row r="650" customFormat="false" ht="15.75" hidden="true" customHeight="false" outlineLevel="0" collapsed="false"/>
    <row r="651" customFormat="false" ht="15.75" hidden="true" customHeight="false" outlineLevel="0" collapsed="false"/>
    <row r="652" customFormat="false" ht="15.75" hidden="true" customHeight="false" outlineLevel="0" collapsed="false"/>
    <row r="653" customFormat="false" ht="15.75" hidden="true" customHeight="false" outlineLevel="0" collapsed="false"/>
    <row r="654" customFormat="false" ht="15.75" hidden="true" customHeight="false" outlineLevel="0" collapsed="false"/>
    <row r="655" customFormat="false" ht="15.75" hidden="true" customHeight="false" outlineLevel="0" collapsed="false"/>
    <row r="656" customFormat="false" ht="15.75" hidden="true" customHeight="false" outlineLevel="0" collapsed="false"/>
    <row r="657" customFormat="false" ht="15.75" hidden="true" customHeight="false" outlineLevel="0" collapsed="false"/>
    <row r="658" customFormat="false" ht="15.75" hidden="true" customHeight="false" outlineLevel="0" collapsed="false"/>
    <row r="659" customFormat="false" ht="15.75" hidden="true" customHeight="false" outlineLevel="0" collapsed="false"/>
    <row r="660" customFormat="false" ht="15.75" hidden="true" customHeight="false" outlineLevel="0" collapsed="false"/>
    <row r="661" customFormat="false" ht="15.75" hidden="true" customHeight="false" outlineLevel="0" collapsed="false"/>
    <row r="662" customFormat="false" ht="15.75" hidden="true" customHeight="false" outlineLevel="0" collapsed="false"/>
    <row r="663" customFormat="false" ht="15.75" hidden="true" customHeight="false" outlineLevel="0" collapsed="false"/>
    <row r="664" customFormat="false" ht="15.75" hidden="true" customHeight="false" outlineLevel="0" collapsed="false"/>
    <row r="665" customFormat="false" ht="15.75" hidden="true" customHeight="false" outlineLevel="0" collapsed="false"/>
    <row r="666" customFormat="false" ht="15.75" hidden="true" customHeight="false" outlineLevel="0" collapsed="false"/>
    <row r="667" customFormat="false" ht="15.75" hidden="true" customHeight="false" outlineLevel="0" collapsed="false"/>
    <row r="668" customFormat="false" ht="15.75" hidden="true" customHeight="false" outlineLevel="0" collapsed="false"/>
    <row r="669" customFormat="false" ht="15.75" hidden="true" customHeight="false" outlineLevel="0" collapsed="false"/>
    <row r="670" customFormat="false" ht="15.75" hidden="true" customHeight="false" outlineLevel="0" collapsed="false"/>
    <row r="671" customFormat="false" ht="15.75" hidden="true" customHeight="false" outlineLevel="0" collapsed="false"/>
    <row r="672" customFormat="false" ht="15.75" hidden="true" customHeight="false" outlineLevel="0" collapsed="false"/>
    <row r="673" customFormat="false" ht="15.75" hidden="true" customHeight="false" outlineLevel="0" collapsed="false"/>
    <row r="674" customFormat="false" ht="15.75" hidden="true" customHeight="false" outlineLevel="0" collapsed="false"/>
    <row r="675" customFormat="false" ht="15.75" hidden="true" customHeight="false" outlineLevel="0" collapsed="false"/>
    <row r="676" customFormat="false" ht="15.75" hidden="true" customHeight="false" outlineLevel="0" collapsed="false"/>
    <row r="677" customFormat="false" ht="15.75" hidden="true" customHeight="false" outlineLevel="0" collapsed="false"/>
    <row r="678" customFormat="false" ht="15.75" hidden="true" customHeight="false" outlineLevel="0" collapsed="false"/>
    <row r="679" customFormat="false" ht="15.75" hidden="true" customHeight="false" outlineLevel="0" collapsed="false"/>
    <row r="680" customFormat="false" ht="15.75" hidden="true" customHeight="false" outlineLevel="0" collapsed="false"/>
    <row r="681" customFormat="false" ht="15.75" hidden="true" customHeight="false" outlineLevel="0" collapsed="false"/>
    <row r="682" customFormat="false" ht="15.75" hidden="true" customHeight="false" outlineLevel="0" collapsed="false"/>
    <row r="683" customFormat="false" ht="15.75" hidden="true" customHeight="false" outlineLevel="0" collapsed="false"/>
    <row r="684" customFormat="false" ht="15.75" hidden="true" customHeight="false" outlineLevel="0" collapsed="false"/>
    <row r="685" customFormat="false" ht="15.75" hidden="true" customHeight="false" outlineLevel="0" collapsed="false"/>
    <row r="686" customFormat="false" ht="15.75" hidden="true" customHeight="false" outlineLevel="0" collapsed="false"/>
    <row r="687" customFormat="false" ht="15.75" hidden="true" customHeight="false" outlineLevel="0" collapsed="false"/>
    <row r="688" customFormat="false" ht="15.75" hidden="true" customHeight="false" outlineLevel="0" collapsed="false"/>
    <row r="689" customFormat="false" ht="15.75" hidden="true" customHeight="false" outlineLevel="0" collapsed="false"/>
    <row r="690" customFormat="false" ht="15.75" hidden="true" customHeight="false" outlineLevel="0" collapsed="false"/>
    <row r="691" customFormat="false" ht="15.75" hidden="true" customHeight="false" outlineLevel="0" collapsed="false"/>
    <row r="692" customFormat="false" ht="15.75" hidden="true" customHeight="false" outlineLevel="0" collapsed="false"/>
    <row r="693" customFormat="false" ht="15.75" hidden="true" customHeight="false" outlineLevel="0" collapsed="false"/>
    <row r="694" customFormat="false" ht="15.75" hidden="true" customHeight="false" outlineLevel="0" collapsed="false"/>
    <row r="695" customFormat="false" ht="15.75" hidden="true" customHeight="false" outlineLevel="0" collapsed="false"/>
    <row r="696" customFormat="false" ht="15.75" hidden="true" customHeight="false" outlineLevel="0" collapsed="false"/>
    <row r="697" customFormat="false" ht="15.75" hidden="true" customHeight="false" outlineLevel="0" collapsed="false"/>
    <row r="698" customFormat="false" ht="15.75" hidden="true" customHeight="false" outlineLevel="0" collapsed="false"/>
    <row r="699" customFormat="false" ht="15.75" hidden="true" customHeight="false" outlineLevel="0" collapsed="false"/>
    <row r="700" customFormat="false" ht="15.75" hidden="true" customHeight="false" outlineLevel="0" collapsed="false"/>
    <row r="701" customFormat="false" ht="15.75" hidden="true" customHeight="false" outlineLevel="0" collapsed="false"/>
    <row r="702" customFormat="false" ht="15.75" hidden="true" customHeight="false" outlineLevel="0" collapsed="false"/>
    <row r="703" customFormat="false" ht="15.75" hidden="true" customHeight="false" outlineLevel="0" collapsed="false"/>
    <row r="704" customFormat="false" ht="15.75" hidden="true" customHeight="false" outlineLevel="0" collapsed="false"/>
    <row r="705" customFormat="false" ht="15.75" hidden="true" customHeight="false" outlineLevel="0" collapsed="false"/>
    <row r="706" customFormat="false" ht="15.75" hidden="true" customHeight="false" outlineLevel="0" collapsed="false"/>
    <row r="707" customFormat="false" ht="15.75" hidden="true" customHeight="false" outlineLevel="0" collapsed="false"/>
    <row r="708" customFormat="false" ht="15.75" hidden="true" customHeight="false" outlineLevel="0" collapsed="false"/>
    <row r="709" customFormat="false" ht="15.75" hidden="true" customHeight="false" outlineLevel="0" collapsed="false"/>
    <row r="710" customFormat="false" ht="15.75" hidden="true" customHeight="false" outlineLevel="0" collapsed="false"/>
    <row r="711" customFormat="false" ht="15.75" hidden="true" customHeight="false" outlineLevel="0" collapsed="false"/>
    <row r="712" customFormat="false" ht="15.75" hidden="true" customHeight="false" outlineLevel="0" collapsed="false"/>
    <row r="713" customFormat="false" ht="15.75" hidden="true" customHeight="false" outlineLevel="0" collapsed="false"/>
    <row r="714" customFormat="false" ht="15.75" hidden="true" customHeight="false" outlineLevel="0" collapsed="false"/>
    <row r="715" customFormat="false" ht="15.75" hidden="true" customHeight="false" outlineLevel="0" collapsed="false"/>
    <row r="716" customFormat="false" ht="15.75" hidden="true" customHeight="false" outlineLevel="0" collapsed="false"/>
    <row r="717" customFormat="false" ht="15.75" hidden="true" customHeight="false" outlineLevel="0" collapsed="false"/>
    <row r="718" customFormat="false" ht="15.75" hidden="true" customHeight="false" outlineLevel="0" collapsed="false"/>
    <row r="719" customFormat="false" ht="15.75" hidden="true" customHeight="false" outlineLevel="0" collapsed="false"/>
    <row r="720" customFormat="false" ht="15.75" hidden="true" customHeight="false" outlineLevel="0" collapsed="false"/>
    <row r="721" customFormat="false" ht="15.75" hidden="true" customHeight="false" outlineLevel="0" collapsed="false"/>
    <row r="722" customFormat="false" ht="15.75" hidden="true" customHeight="false" outlineLevel="0" collapsed="false"/>
    <row r="723" customFormat="false" ht="15.75" hidden="true" customHeight="false" outlineLevel="0" collapsed="false"/>
    <row r="724" customFormat="false" ht="15.75" hidden="true" customHeight="false" outlineLevel="0" collapsed="false"/>
    <row r="725" customFormat="false" ht="15.75" hidden="true" customHeight="false" outlineLevel="0" collapsed="false"/>
    <row r="726" customFormat="false" ht="15.75" hidden="true" customHeight="false" outlineLevel="0" collapsed="false"/>
    <row r="727" customFormat="false" ht="15.75" hidden="true" customHeight="false" outlineLevel="0" collapsed="false"/>
    <row r="728" customFormat="false" ht="15.75" hidden="true" customHeight="false" outlineLevel="0" collapsed="false"/>
    <row r="729" customFormat="false" ht="15.75" hidden="true" customHeight="false" outlineLevel="0" collapsed="false"/>
    <row r="730" customFormat="false" ht="15.75" hidden="true" customHeight="false" outlineLevel="0" collapsed="false"/>
    <row r="731" customFormat="false" ht="15.75" hidden="true" customHeight="false" outlineLevel="0" collapsed="false"/>
    <row r="732" customFormat="false" ht="15.75" hidden="true" customHeight="false" outlineLevel="0" collapsed="false"/>
    <row r="733" customFormat="false" ht="15.75" hidden="true" customHeight="false" outlineLevel="0" collapsed="false"/>
    <row r="734" customFormat="false" ht="15.75" hidden="true" customHeight="false" outlineLevel="0" collapsed="false"/>
    <row r="735" customFormat="false" ht="15.75" hidden="true" customHeight="false" outlineLevel="0" collapsed="false"/>
    <row r="736" customFormat="false" ht="15.75" hidden="true" customHeight="false" outlineLevel="0" collapsed="false"/>
    <row r="737" customFormat="false" ht="15.75" hidden="true" customHeight="false" outlineLevel="0" collapsed="false"/>
    <row r="738" customFormat="false" ht="15.75" hidden="true" customHeight="false" outlineLevel="0" collapsed="false"/>
    <row r="739" customFormat="false" ht="15.75" hidden="true" customHeight="false" outlineLevel="0" collapsed="false"/>
    <row r="740" customFormat="false" ht="15.75" hidden="true" customHeight="false" outlineLevel="0" collapsed="false"/>
    <row r="741" customFormat="false" ht="15.75" hidden="true" customHeight="false" outlineLevel="0" collapsed="false"/>
    <row r="742" customFormat="false" ht="15.75" hidden="true" customHeight="false" outlineLevel="0" collapsed="false"/>
    <row r="743" customFormat="false" ht="15.75" hidden="true" customHeight="false" outlineLevel="0" collapsed="false"/>
    <row r="744" customFormat="false" ht="15.75" hidden="true" customHeight="false" outlineLevel="0" collapsed="false"/>
    <row r="745" customFormat="false" ht="15.75" hidden="true" customHeight="false" outlineLevel="0" collapsed="false"/>
    <row r="746" customFormat="false" ht="15.75" hidden="true" customHeight="false" outlineLevel="0" collapsed="false"/>
    <row r="747" customFormat="false" ht="15.75" hidden="true" customHeight="false" outlineLevel="0" collapsed="false"/>
    <row r="748" customFormat="false" ht="15.75" hidden="true" customHeight="false" outlineLevel="0" collapsed="false"/>
    <row r="749" customFormat="false" ht="15.75" hidden="true" customHeight="false" outlineLevel="0" collapsed="false"/>
    <row r="750" customFormat="false" ht="15.75" hidden="true" customHeight="false" outlineLevel="0" collapsed="false"/>
    <row r="751" customFormat="false" ht="15.75" hidden="true" customHeight="false" outlineLevel="0" collapsed="false"/>
    <row r="752" customFormat="false" ht="15.75" hidden="true" customHeight="false" outlineLevel="0" collapsed="false"/>
    <row r="753" customFormat="false" ht="15.75" hidden="true" customHeight="false" outlineLevel="0" collapsed="false"/>
    <row r="754" customFormat="false" ht="15.75" hidden="true" customHeight="false" outlineLevel="0" collapsed="false"/>
    <row r="755" customFormat="false" ht="15.75" hidden="true" customHeight="false" outlineLevel="0" collapsed="false"/>
    <row r="756" customFormat="false" ht="15.75" hidden="true" customHeight="false" outlineLevel="0" collapsed="false"/>
    <row r="757" customFormat="false" ht="15.75" hidden="true" customHeight="false" outlineLevel="0" collapsed="false"/>
    <row r="758" customFormat="false" ht="15.75" hidden="true" customHeight="false" outlineLevel="0" collapsed="false"/>
    <row r="759" customFormat="false" ht="15.75" hidden="true" customHeight="false" outlineLevel="0" collapsed="false"/>
    <row r="760" customFormat="false" ht="15.75" hidden="true" customHeight="false" outlineLevel="0" collapsed="false"/>
    <row r="761" customFormat="false" ht="15.75" hidden="true" customHeight="false" outlineLevel="0" collapsed="false"/>
    <row r="762" customFormat="false" ht="15.75" hidden="true" customHeight="false" outlineLevel="0" collapsed="false"/>
    <row r="763" customFormat="false" ht="15.75" hidden="true" customHeight="false" outlineLevel="0" collapsed="false"/>
    <row r="764" customFormat="false" ht="15.75" hidden="true" customHeight="false" outlineLevel="0" collapsed="false"/>
    <row r="765" customFormat="false" ht="15.75" hidden="true" customHeight="false" outlineLevel="0" collapsed="false"/>
    <row r="766" customFormat="false" ht="15.75" hidden="true" customHeight="false" outlineLevel="0" collapsed="false"/>
    <row r="767" customFormat="false" ht="15.75" hidden="true" customHeight="false" outlineLevel="0" collapsed="false"/>
    <row r="768" customFormat="false" ht="15.75" hidden="true" customHeight="false" outlineLevel="0" collapsed="false"/>
    <row r="769" customFormat="false" ht="15.75" hidden="true" customHeight="false" outlineLevel="0" collapsed="false"/>
    <row r="770" customFormat="false" ht="15.75" hidden="true" customHeight="false" outlineLevel="0" collapsed="false"/>
    <row r="771" customFormat="false" ht="15.75" hidden="true" customHeight="false" outlineLevel="0" collapsed="false"/>
    <row r="772" customFormat="false" ht="15.75" hidden="true" customHeight="false" outlineLevel="0" collapsed="false"/>
    <row r="773" customFormat="false" ht="15.75" hidden="true" customHeight="false" outlineLevel="0" collapsed="false"/>
    <row r="774" customFormat="false" ht="15.75" hidden="true" customHeight="false" outlineLevel="0" collapsed="false"/>
    <row r="775" customFormat="false" ht="15.75" hidden="true" customHeight="false" outlineLevel="0" collapsed="false"/>
    <row r="776" customFormat="false" ht="15.75" hidden="true" customHeight="false" outlineLevel="0" collapsed="false"/>
    <row r="777" customFormat="false" ht="15.75" hidden="true" customHeight="false" outlineLevel="0" collapsed="false"/>
    <row r="778" customFormat="false" ht="15.75" hidden="true" customHeight="false" outlineLevel="0" collapsed="false"/>
    <row r="779" customFormat="false" ht="15.75" hidden="true" customHeight="false" outlineLevel="0" collapsed="false"/>
    <row r="780" customFormat="false" ht="15.75" hidden="true" customHeight="false" outlineLevel="0" collapsed="false"/>
    <row r="781" customFormat="false" ht="15.75" hidden="true" customHeight="false" outlineLevel="0" collapsed="false"/>
    <row r="782" customFormat="false" ht="15.75" hidden="true" customHeight="false" outlineLevel="0" collapsed="false"/>
    <row r="783" customFormat="false" ht="15.75" hidden="true" customHeight="false" outlineLevel="0" collapsed="false"/>
    <row r="784" customFormat="false" ht="15.75" hidden="true" customHeight="false" outlineLevel="0" collapsed="false"/>
    <row r="785" customFormat="false" ht="15.75" hidden="true" customHeight="false" outlineLevel="0" collapsed="false"/>
    <row r="786" customFormat="false" ht="15.75" hidden="true" customHeight="false" outlineLevel="0" collapsed="false"/>
    <row r="787" customFormat="false" ht="15.75" hidden="true" customHeight="false" outlineLevel="0" collapsed="false"/>
    <row r="788" customFormat="false" ht="15.75" hidden="true" customHeight="false" outlineLevel="0" collapsed="false"/>
    <row r="789" customFormat="false" ht="15.75" hidden="true" customHeight="false" outlineLevel="0" collapsed="false"/>
    <row r="790" customFormat="false" ht="15.75" hidden="true" customHeight="false" outlineLevel="0" collapsed="false"/>
    <row r="791" customFormat="false" ht="15.75" hidden="true" customHeight="false" outlineLevel="0" collapsed="false"/>
    <row r="792" customFormat="false" ht="15.75" hidden="true" customHeight="false" outlineLevel="0" collapsed="false"/>
    <row r="793" customFormat="false" ht="15.75" hidden="true" customHeight="false" outlineLevel="0" collapsed="false"/>
    <row r="794" customFormat="false" ht="15.75" hidden="true" customHeight="false" outlineLevel="0" collapsed="false"/>
    <row r="795" customFormat="false" ht="15.75" hidden="true" customHeight="false" outlineLevel="0" collapsed="false"/>
    <row r="796" customFormat="false" ht="15.75" hidden="true" customHeight="false" outlineLevel="0" collapsed="false"/>
    <row r="797" customFormat="false" ht="15.75" hidden="true" customHeight="false" outlineLevel="0" collapsed="false"/>
    <row r="798" customFormat="false" ht="15.75" hidden="true" customHeight="false" outlineLevel="0" collapsed="false"/>
    <row r="799" customFormat="false" ht="15.75" hidden="true" customHeight="false" outlineLevel="0" collapsed="false"/>
    <row r="800" customFormat="false" ht="15.75" hidden="true" customHeight="false" outlineLevel="0" collapsed="false"/>
    <row r="801" customFormat="false" ht="15.75" hidden="true" customHeight="false" outlineLevel="0" collapsed="false"/>
    <row r="802" customFormat="false" ht="15.75" hidden="true" customHeight="false" outlineLevel="0" collapsed="false"/>
    <row r="803" customFormat="false" ht="15.75" hidden="true" customHeight="false" outlineLevel="0" collapsed="false"/>
    <row r="804" customFormat="false" ht="15.75" hidden="true" customHeight="false" outlineLevel="0" collapsed="false"/>
    <row r="805" customFormat="false" ht="15.75" hidden="true" customHeight="false" outlineLevel="0" collapsed="false"/>
    <row r="806" customFormat="false" ht="15.75" hidden="true" customHeight="false" outlineLevel="0" collapsed="false"/>
    <row r="807" customFormat="false" ht="15.75" hidden="true" customHeight="false" outlineLevel="0" collapsed="false"/>
    <row r="808" customFormat="false" ht="15.75" hidden="true" customHeight="false" outlineLevel="0" collapsed="false"/>
    <row r="809" customFormat="false" ht="15.75" hidden="true" customHeight="false" outlineLevel="0" collapsed="false"/>
    <row r="810" customFormat="false" ht="15.75" hidden="true" customHeight="false" outlineLevel="0" collapsed="false"/>
    <row r="811" customFormat="false" ht="15.75" hidden="true" customHeight="false" outlineLevel="0" collapsed="false"/>
    <row r="812" customFormat="false" ht="15.75" hidden="true" customHeight="false" outlineLevel="0" collapsed="false"/>
    <row r="813" customFormat="false" ht="15.75" hidden="true" customHeight="false" outlineLevel="0" collapsed="false"/>
    <row r="814" customFormat="false" ht="15.75" hidden="true" customHeight="false" outlineLevel="0" collapsed="false"/>
    <row r="815" customFormat="false" ht="15.75" hidden="true" customHeight="false" outlineLevel="0" collapsed="false"/>
    <row r="816" customFormat="false" ht="15.75" hidden="true" customHeight="false" outlineLevel="0" collapsed="false"/>
    <row r="817" customFormat="false" ht="15.75" hidden="true" customHeight="false" outlineLevel="0" collapsed="false"/>
    <row r="818" customFormat="false" ht="15.75" hidden="true" customHeight="false" outlineLevel="0" collapsed="false"/>
    <row r="819" customFormat="false" ht="15.75" hidden="true" customHeight="false" outlineLevel="0" collapsed="false"/>
    <row r="820" customFormat="false" ht="15.75" hidden="true" customHeight="false" outlineLevel="0" collapsed="false"/>
    <row r="821" customFormat="false" ht="15.75" hidden="true" customHeight="false" outlineLevel="0" collapsed="false"/>
    <row r="822" customFormat="false" ht="15.75" hidden="true" customHeight="false" outlineLevel="0" collapsed="false"/>
    <row r="823" customFormat="false" ht="15.75" hidden="true" customHeight="false" outlineLevel="0" collapsed="false"/>
    <row r="824" customFormat="false" ht="15.75" hidden="true" customHeight="false" outlineLevel="0" collapsed="false"/>
    <row r="825" customFormat="false" ht="15.75" hidden="true" customHeight="false" outlineLevel="0" collapsed="false"/>
    <row r="826" customFormat="false" ht="15.75" hidden="true" customHeight="false" outlineLevel="0" collapsed="false"/>
    <row r="827" customFormat="false" ht="15.75" hidden="true" customHeight="false" outlineLevel="0" collapsed="false"/>
    <row r="828" customFormat="false" ht="15.75" hidden="true" customHeight="false" outlineLevel="0" collapsed="false"/>
    <row r="829" customFormat="false" ht="15.75" hidden="true" customHeight="false" outlineLevel="0" collapsed="false"/>
    <row r="830" customFormat="false" ht="15.75" hidden="true" customHeight="false" outlineLevel="0" collapsed="false"/>
    <row r="831" customFormat="false" ht="15.75" hidden="true" customHeight="false" outlineLevel="0" collapsed="false"/>
    <row r="832" customFormat="false" ht="15.75" hidden="true" customHeight="false" outlineLevel="0" collapsed="false"/>
    <row r="833" customFormat="false" ht="15.75" hidden="true" customHeight="false" outlineLevel="0" collapsed="false"/>
    <row r="834" customFormat="false" ht="15.75" hidden="true" customHeight="false" outlineLevel="0" collapsed="false"/>
    <row r="835" customFormat="false" ht="15.75" hidden="true" customHeight="false" outlineLevel="0" collapsed="false"/>
    <row r="836" customFormat="false" ht="15.75" hidden="true" customHeight="false" outlineLevel="0" collapsed="false"/>
    <row r="837" customFormat="false" ht="15.75" hidden="true" customHeight="false" outlineLevel="0" collapsed="false"/>
    <row r="838" customFormat="false" ht="15.75" hidden="true" customHeight="false" outlineLevel="0" collapsed="false"/>
    <row r="839" customFormat="false" ht="15.75" hidden="true" customHeight="false" outlineLevel="0" collapsed="false"/>
    <row r="840" customFormat="false" ht="15.75" hidden="true" customHeight="false" outlineLevel="0" collapsed="false"/>
    <row r="841" customFormat="false" ht="15.75" hidden="true" customHeight="false" outlineLevel="0" collapsed="false"/>
    <row r="842" customFormat="false" ht="15.75" hidden="true" customHeight="false" outlineLevel="0" collapsed="false"/>
    <row r="843" customFormat="false" ht="15.75" hidden="true" customHeight="false" outlineLevel="0" collapsed="false"/>
    <row r="844" customFormat="false" ht="15.75" hidden="true" customHeight="false" outlineLevel="0" collapsed="false"/>
    <row r="845" customFormat="false" ht="15.75" hidden="true" customHeight="false" outlineLevel="0" collapsed="false"/>
    <row r="846" customFormat="false" ht="15.75" hidden="true" customHeight="false" outlineLevel="0" collapsed="false"/>
    <row r="847" customFormat="false" ht="15.75" hidden="true" customHeight="false" outlineLevel="0" collapsed="false"/>
    <row r="848" customFormat="false" ht="15.75" hidden="true" customHeight="false" outlineLevel="0" collapsed="false"/>
    <row r="849" customFormat="false" ht="15.75" hidden="true" customHeight="false" outlineLevel="0" collapsed="false"/>
    <row r="850" customFormat="false" ht="15.75" hidden="true" customHeight="false" outlineLevel="0" collapsed="false"/>
    <row r="851" customFormat="false" ht="15.75" hidden="true" customHeight="false" outlineLevel="0" collapsed="false"/>
    <row r="852" customFormat="false" ht="15.75" hidden="true" customHeight="false" outlineLevel="0" collapsed="false"/>
    <row r="853" customFormat="false" ht="15.75" hidden="true" customHeight="false" outlineLevel="0" collapsed="false"/>
    <row r="854" customFormat="false" ht="15.75" hidden="true" customHeight="false" outlineLevel="0" collapsed="false"/>
    <row r="855" customFormat="false" ht="15.75" hidden="true" customHeight="false" outlineLevel="0" collapsed="false"/>
    <row r="856" customFormat="false" ht="15.75" hidden="true" customHeight="false" outlineLevel="0" collapsed="false"/>
    <row r="857" customFormat="false" ht="15.75" hidden="true" customHeight="false" outlineLevel="0" collapsed="false"/>
    <row r="858" customFormat="false" ht="15.75" hidden="true" customHeight="false" outlineLevel="0" collapsed="false"/>
    <row r="859" customFormat="false" ht="15.75" hidden="true" customHeight="false" outlineLevel="0" collapsed="false"/>
    <row r="860" customFormat="false" ht="15.75" hidden="true" customHeight="false" outlineLevel="0" collapsed="false"/>
    <row r="861" customFormat="false" ht="15.75" hidden="true" customHeight="false" outlineLevel="0" collapsed="false"/>
    <row r="862" customFormat="false" ht="15.75" hidden="true" customHeight="false" outlineLevel="0" collapsed="false"/>
    <row r="863" customFormat="false" ht="15.75" hidden="true" customHeight="false" outlineLevel="0" collapsed="false"/>
    <row r="864" customFormat="false" ht="15.75" hidden="true" customHeight="false" outlineLevel="0" collapsed="false"/>
    <row r="865" customFormat="false" ht="15.75" hidden="true" customHeight="false" outlineLevel="0" collapsed="false"/>
    <row r="866" customFormat="false" ht="15.75" hidden="true" customHeight="false" outlineLevel="0" collapsed="false"/>
    <row r="867" customFormat="false" ht="15.75" hidden="true" customHeight="false" outlineLevel="0" collapsed="false"/>
    <row r="868" customFormat="false" ht="15.75" hidden="true" customHeight="false" outlineLevel="0" collapsed="false"/>
    <row r="869" customFormat="false" ht="15.75" hidden="true" customHeight="false" outlineLevel="0" collapsed="false"/>
    <row r="870" customFormat="false" ht="15.75" hidden="true" customHeight="false" outlineLevel="0" collapsed="false"/>
    <row r="871" customFormat="false" ht="15.75" hidden="true" customHeight="false" outlineLevel="0" collapsed="false"/>
    <row r="872" customFormat="false" ht="15.75" hidden="true" customHeight="false" outlineLevel="0" collapsed="false"/>
    <row r="873" customFormat="false" ht="15.75" hidden="true" customHeight="false" outlineLevel="0" collapsed="false"/>
    <row r="874" customFormat="false" ht="15.75" hidden="true" customHeight="false" outlineLevel="0" collapsed="false"/>
    <row r="875" customFormat="false" ht="15.75" hidden="true" customHeight="false" outlineLevel="0" collapsed="false"/>
    <row r="876" customFormat="false" ht="15.75" hidden="true" customHeight="false" outlineLevel="0" collapsed="false"/>
    <row r="877" customFormat="false" ht="15.75" hidden="true" customHeight="false" outlineLevel="0" collapsed="false"/>
    <row r="878" customFormat="false" ht="15.75" hidden="true" customHeight="false" outlineLevel="0" collapsed="false"/>
    <row r="879" customFormat="false" ht="15.75" hidden="true" customHeight="false" outlineLevel="0" collapsed="false"/>
    <row r="880" customFormat="false" ht="15.75" hidden="true" customHeight="false" outlineLevel="0" collapsed="false"/>
    <row r="881" customFormat="false" ht="15.75" hidden="true" customHeight="false" outlineLevel="0" collapsed="false"/>
    <row r="882" customFormat="false" ht="15.75" hidden="true" customHeight="false" outlineLevel="0" collapsed="false"/>
    <row r="883" customFormat="false" ht="15.75" hidden="true" customHeight="false" outlineLevel="0" collapsed="false"/>
    <row r="884" customFormat="false" ht="15.75" hidden="true" customHeight="false" outlineLevel="0" collapsed="false"/>
    <row r="885" customFormat="false" ht="15.75" hidden="true" customHeight="false" outlineLevel="0" collapsed="false"/>
    <row r="886" customFormat="false" ht="15.75" hidden="true" customHeight="false" outlineLevel="0" collapsed="false"/>
    <row r="887" customFormat="false" ht="15.75" hidden="true" customHeight="false" outlineLevel="0" collapsed="false"/>
    <row r="888" customFormat="false" ht="15.75" hidden="true" customHeight="false" outlineLevel="0" collapsed="false"/>
    <row r="889" customFormat="false" ht="15.75" hidden="true" customHeight="false" outlineLevel="0" collapsed="false"/>
    <row r="890" customFormat="false" ht="15.75" hidden="true" customHeight="false" outlineLevel="0" collapsed="false"/>
    <row r="891" customFormat="false" ht="15.75" hidden="true" customHeight="false" outlineLevel="0" collapsed="false"/>
    <row r="892" customFormat="false" ht="15.75" hidden="true" customHeight="false" outlineLevel="0" collapsed="false"/>
    <row r="893" customFormat="false" ht="15.75" hidden="true" customHeight="false" outlineLevel="0" collapsed="false"/>
    <row r="894" customFormat="false" ht="15.75" hidden="true" customHeight="false" outlineLevel="0" collapsed="false"/>
    <row r="895" customFormat="false" ht="15.75" hidden="true" customHeight="false" outlineLevel="0" collapsed="false"/>
    <row r="896" customFormat="false" ht="15.75" hidden="true" customHeight="false" outlineLevel="0" collapsed="false"/>
    <row r="897" customFormat="false" ht="15.75" hidden="true" customHeight="false" outlineLevel="0" collapsed="false"/>
    <row r="898" customFormat="false" ht="15.75" hidden="true" customHeight="false" outlineLevel="0" collapsed="false"/>
    <row r="899" customFormat="false" ht="15.75" hidden="true" customHeight="false" outlineLevel="0" collapsed="false"/>
    <row r="900" customFormat="false" ht="15.75" hidden="true" customHeight="false" outlineLevel="0" collapsed="false"/>
    <row r="901" customFormat="false" ht="15.75" hidden="true" customHeight="false" outlineLevel="0" collapsed="false"/>
    <row r="902" customFormat="false" ht="15.75" hidden="true" customHeight="false" outlineLevel="0" collapsed="false"/>
    <row r="903" customFormat="false" ht="15.75" hidden="true" customHeight="false" outlineLevel="0" collapsed="false"/>
    <row r="904" customFormat="false" ht="15.75" hidden="true" customHeight="false" outlineLevel="0" collapsed="false"/>
    <row r="905" customFormat="false" ht="15.75" hidden="true" customHeight="false" outlineLevel="0" collapsed="false"/>
    <row r="906" customFormat="false" ht="15.75" hidden="true" customHeight="false" outlineLevel="0" collapsed="false"/>
    <row r="907" customFormat="false" ht="15.75" hidden="true" customHeight="false" outlineLevel="0" collapsed="false"/>
    <row r="908" customFormat="false" ht="15.75" hidden="true" customHeight="false" outlineLevel="0" collapsed="false"/>
    <row r="909" customFormat="false" ht="15.75" hidden="true" customHeight="false" outlineLevel="0" collapsed="false"/>
    <row r="910" customFormat="false" ht="15.75" hidden="true" customHeight="false" outlineLevel="0" collapsed="false"/>
    <row r="911" customFormat="false" ht="15.75" hidden="true" customHeight="false" outlineLevel="0" collapsed="false"/>
    <row r="912" customFormat="false" ht="15.75" hidden="true" customHeight="false" outlineLevel="0" collapsed="false"/>
    <row r="913" customFormat="false" ht="15.75" hidden="true" customHeight="false" outlineLevel="0" collapsed="false"/>
    <row r="914" customFormat="false" ht="15.75" hidden="true" customHeight="false" outlineLevel="0" collapsed="false"/>
    <row r="915" customFormat="false" ht="15.75" hidden="true" customHeight="false" outlineLevel="0" collapsed="false"/>
    <row r="916" customFormat="false" ht="15.75" hidden="true" customHeight="false" outlineLevel="0" collapsed="false"/>
    <row r="917" customFormat="false" ht="15.75" hidden="true" customHeight="false" outlineLevel="0" collapsed="false"/>
    <row r="918" customFormat="false" ht="15.75" hidden="true" customHeight="false" outlineLevel="0" collapsed="false"/>
    <row r="919" customFormat="false" ht="15.75" hidden="true" customHeight="false" outlineLevel="0" collapsed="false"/>
    <row r="920" customFormat="false" ht="15.75" hidden="true" customHeight="false" outlineLevel="0" collapsed="false"/>
    <row r="921" customFormat="false" ht="15.75" hidden="true" customHeight="false" outlineLevel="0" collapsed="false"/>
    <row r="922" customFormat="false" ht="15.75" hidden="true" customHeight="false" outlineLevel="0" collapsed="false"/>
    <row r="923" customFormat="false" ht="15.75" hidden="true" customHeight="false" outlineLevel="0" collapsed="false"/>
    <row r="924" customFormat="false" ht="15.75" hidden="true" customHeight="false" outlineLevel="0" collapsed="false"/>
    <row r="925" customFormat="false" ht="15.75" hidden="true" customHeight="false" outlineLevel="0" collapsed="false"/>
    <row r="926" customFormat="false" ht="15.75" hidden="true" customHeight="false" outlineLevel="0" collapsed="false"/>
    <row r="927" customFormat="false" ht="15.75" hidden="true" customHeight="false" outlineLevel="0" collapsed="false"/>
    <row r="928" customFormat="false" ht="15.75" hidden="true" customHeight="false" outlineLevel="0" collapsed="false"/>
    <row r="929" customFormat="false" ht="15.75" hidden="true" customHeight="false" outlineLevel="0" collapsed="false"/>
    <row r="930" customFormat="false" ht="15.75" hidden="true" customHeight="false" outlineLevel="0" collapsed="false"/>
    <row r="931" customFormat="false" ht="15.75" hidden="true" customHeight="false" outlineLevel="0" collapsed="false"/>
    <row r="932" customFormat="false" ht="15.75" hidden="true" customHeight="false" outlineLevel="0" collapsed="false"/>
    <row r="933" customFormat="false" ht="15.75" hidden="true" customHeight="false" outlineLevel="0" collapsed="false"/>
    <row r="934" customFormat="false" ht="15.75" hidden="true" customHeight="false" outlineLevel="0" collapsed="false"/>
    <row r="935" customFormat="false" ht="15.75" hidden="true" customHeight="false" outlineLevel="0" collapsed="false"/>
    <row r="936" customFormat="false" ht="15.75" hidden="true" customHeight="false" outlineLevel="0" collapsed="false"/>
    <row r="937" customFormat="false" ht="15.75" hidden="true" customHeight="false" outlineLevel="0" collapsed="false"/>
    <row r="938" customFormat="false" ht="15.75" hidden="true" customHeight="false" outlineLevel="0" collapsed="false"/>
    <row r="939" customFormat="false" ht="15.75" hidden="true" customHeight="false" outlineLevel="0" collapsed="false"/>
    <row r="940" customFormat="false" ht="15.75" hidden="true" customHeight="false" outlineLevel="0" collapsed="false"/>
    <row r="941" customFormat="false" ht="15.75" hidden="true" customHeight="false" outlineLevel="0" collapsed="false"/>
    <row r="942" customFormat="false" ht="15.75" hidden="true" customHeight="false" outlineLevel="0" collapsed="false"/>
    <row r="943" customFormat="false" ht="15.75" hidden="true" customHeight="false" outlineLevel="0" collapsed="false"/>
    <row r="944" customFormat="false" ht="15.75" hidden="true" customHeight="false" outlineLevel="0" collapsed="false"/>
    <row r="945" customFormat="false" ht="15.75" hidden="true" customHeight="false" outlineLevel="0" collapsed="false"/>
    <row r="946" customFormat="false" ht="15.75" hidden="true" customHeight="false" outlineLevel="0" collapsed="false"/>
    <row r="947" customFormat="false" ht="15.75" hidden="true" customHeight="false" outlineLevel="0" collapsed="false"/>
    <row r="948" customFormat="false" ht="15.75" hidden="true" customHeight="false" outlineLevel="0" collapsed="false"/>
    <row r="949" customFormat="false" ht="15.75" hidden="true" customHeight="false" outlineLevel="0" collapsed="false"/>
    <row r="950" customFormat="false" ht="15.75" hidden="true" customHeight="false" outlineLevel="0" collapsed="false"/>
    <row r="951" customFormat="false" ht="15.75" hidden="true" customHeight="false" outlineLevel="0" collapsed="false"/>
    <row r="952" customFormat="false" ht="15.75" hidden="true" customHeight="false" outlineLevel="0" collapsed="false"/>
    <row r="953" customFormat="false" ht="15.75" hidden="true" customHeight="false" outlineLevel="0" collapsed="false"/>
    <row r="954" customFormat="false" ht="15.75" hidden="true" customHeight="false" outlineLevel="0" collapsed="false"/>
    <row r="955" customFormat="false" ht="15.75" hidden="true" customHeight="false" outlineLevel="0" collapsed="false"/>
    <row r="956" customFormat="false" ht="15.75" hidden="true" customHeight="false" outlineLevel="0" collapsed="false"/>
    <row r="957" customFormat="false" ht="15.75" hidden="true" customHeight="false" outlineLevel="0" collapsed="false"/>
    <row r="958" customFormat="false" ht="15.75" hidden="true" customHeight="false" outlineLevel="0" collapsed="false"/>
    <row r="959" customFormat="false" ht="15.75" hidden="true" customHeight="false" outlineLevel="0" collapsed="false"/>
    <row r="960" customFormat="false" ht="15.75" hidden="true" customHeight="false" outlineLevel="0" collapsed="false"/>
    <row r="961" customFormat="false" ht="15.75" hidden="true" customHeight="false" outlineLevel="0" collapsed="false"/>
    <row r="962" customFormat="false" ht="15.75" hidden="true" customHeight="false" outlineLevel="0" collapsed="false"/>
    <row r="963" customFormat="false" ht="15.75" hidden="true" customHeight="false" outlineLevel="0" collapsed="false"/>
    <row r="964" customFormat="false" ht="15.75" hidden="true" customHeight="false" outlineLevel="0" collapsed="false"/>
    <row r="965" customFormat="false" ht="15.75" hidden="true" customHeight="false" outlineLevel="0" collapsed="false"/>
    <row r="966" customFormat="false" ht="15.75" hidden="true" customHeight="false" outlineLevel="0" collapsed="false"/>
    <row r="967" customFormat="false" ht="15.75" hidden="true" customHeight="false" outlineLevel="0" collapsed="false"/>
    <row r="968" customFormat="false" ht="15.75" hidden="true" customHeight="false" outlineLevel="0" collapsed="false"/>
    <row r="969" customFormat="false" ht="15.75" hidden="true" customHeight="false" outlineLevel="0" collapsed="false"/>
    <row r="970" customFormat="false" ht="15.75" hidden="true" customHeight="false" outlineLevel="0" collapsed="false"/>
    <row r="971" customFormat="false" ht="15.75" hidden="true" customHeight="false" outlineLevel="0" collapsed="false"/>
    <row r="972" customFormat="false" ht="15.75" hidden="true" customHeight="false" outlineLevel="0" collapsed="false"/>
    <row r="973" customFormat="false" ht="15.75" hidden="true" customHeight="false" outlineLevel="0" collapsed="false"/>
    <row r="974" customFormat="false" ht="15.75" hidden="true" customHeight="false" outlineLevel="0" collapsed="false"/>
    <row r="975" customFormat="false" ht="15.75" hidden="true" customHeight="false" outlineLevel="0" collapsed="false"/>
    <row r="976" customFormat="false" ht="15.75" hidden="true" customHeight="false" outlineLevel="0" collapsed="false"/>
    <row r="977" customFormat="false" ht="15.75" hidden="true" customHeight="false" outlineLevel="0" collapsed="false"/>
    <row r="978" customFormat="false" ht="15.75" hidden="true" customHeight="false" outlineLevel="0" collapsed="false"/>
    <row r="979" customFormat="false" ht="15.75" hidden="true" customHeight="false" outlineLevel="0" collapsed="false"/>
    <row r="980" customFormat="false" ht="15.75" hidden="true" customHeight="false" outlineLevel="0" collapsed="false"/>
    <row r="981" customFormat="false" ht="15.75" hidden="true" customHeight="false" outlineLevel="0" collapsed="false"/>
    <row r="982" customFormat="false" ht="15.75" hidden="true" customHeight="false" outlineLevel="0" collapsed="false"/>
    <row r="983" customFormat="false" ht="15.75" hidden="true" customHeight="false" outlineLevel="0" collapsed="false"/>
    <row r="984" customFormat="false" ht="15.75" hidden="true" customHeight="false" outlineLevel="0" collapsed="false"/>
    <row r="985" customFormat="false" ht="15.75" hidden="true" customHeight="false" outlineLevel="0" collapsed="false"/>
    <row r="986" customFormat="false" ht="15.75" hidden="true" customHeight="false" outlineLevel="0" collapsed="false"/>
    <row r="987" customFormat="false" ht="15.75" hidden="true" customHeight="false" outlineLevel="0" collapsed="false"/>
    <row r="988" customFormat="false" ht="15.75" hidden="true" customHeight="false" outlineLevel="0" collapsed="false"/>
    <row r="989" customFormat="false" ht="15.75" hidden="true" customHeight="false" outlineLevel="0" collapsed="false"/>
    <row r="990" customFormat="false" ht="15.75" hidden="true" customHeight="false" outlineLevel="0" collapsed="false"/>
    <row r="991" customFormat="false" ht="15.75" hidden="true" customHeight="false" outlineLevel="0" collapsed="false"/>
    <row r="992" customFormat="false" ht="15.75" hidden="true" customHeight="false" outlineLevel="0" collapsed="false"/>
    <row r="993" customFormat="false" ht="15.75" hidden="true" customHeight="false" outlineLevel="0" collapsed="false"/>
    <row r="994" customFormat="false" ht="15.75" hidden="true" customHeight="false" outlineLevel="0" collapsed="false"/>
    <row r="995" customFormat="false" ht="15.75" hidden="true" customHeight="false" outlineLevel="0" collapsed="false"/>
    <row r="996" customFormat="false" ht="15.75" hidden="true" customHeight="false" outlineLevel="0" collapsed="false"/>
    <row r="997" customFormat="false" ht="15.75" hidden="true" customHeight="false" outlineLevel="0" collapsed="false"/>
    <row r="998" customFormat="false" ht="15.75" hidden="true" customHeight="false" outlineLevel="0" collapsed="false"/>
    <row r="999" customFormat="false" ht="15.75" hidden="true" customHeight="false" outlineLevel="0" collapsed="false"/>
    <row r="1000" customFormat="false" ht="15.75" hidden="true" customHeight="false" outlineLevel="0" collapsed="false"/>
  </sheetData>
  <autoFilter ref="A1:H1000">
    <filterColumn colId="7">
      <filters>
        <filter val="Revisar"/>
        <filter val="Pendente"/>
      </filters>
    </filterColumn>
  </autoFilter>
  <dataValidations count="3">
    <dataValidation allowBlank="true" errorStyle="stop" operator="between" showDropDown="false" showErrorMessage="true" showInputMessage="false" sqref="I2:I79" type="list">
      <formula1>"Juros e PU batem ,Principal e PU batem ,PU não bate ,Juros não bate/ MAS PU bate,Principal não bate / MAS PU bate"</formula1>
      <formula2>0</formula2>
    </dataValidation>
    <dataValidation allowBlank="true" errorStyle="stop" operator="between" showDropDown="false" showErrorMessage="true" showInputMessage="false" sqref="K2:K79" type="list">
      <formula1>"Bate,Não bate,Escolher "</formula1>
      <formula2>0</formula2>
    </dataValidation>
    <dataValidation allowBlank="true" errorStyle="stop" operator="between" showDropDown="false" showErrorMessage="true" showInputMessage="false" sqref="H2:H79" type="list">
      <formula1>"Feito,Revisar,Pendente,Não Iniciado,Em Andamento"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75"/>
    <col collapsed="false" customWidth="true" hidden="false" outlineLevel="0" max="6" min="6" style="0" width="43.51"/>
    <col collapsed="false" customWidth="true" hidden="false" outlineLevel="0" max="7" min="7" style="0" width="15.13"/>
    <col collapsed="false" customWidth="true" hidden="false" outlineLevel="0" max="8" min="8" style="0" width="19.63"/>
    <col collapsed="false" customWidth="true" hidden="false" outlineLevel="0" max="11" min="11" style="0" width="41.5"/>
    <col collapsed="false" customWidth="true" hidden="false" outlineLevel="0" max="12" min="12" style="0" width="159.25"/>
  </cols>
  <sheetData>
    <row r="1" customFormat="false" ht="15.75" hidden="false" customHeight="false" outlineLevel="0" collapsed="false">
      <c r="A1" s="85" t="s">
        <v>859</v>
      </c>
      <c r="B1" s="85" t="s">
        <v>860</v>
      </c>
      <c r="C1" s="85" t="s">
        <v>861</v>
      </c>
      <c r="D1" s="85" t="s">
        <v>862</v>
      </c>
      <c r="E1" s="85" t="s">
        <v>863</v>
      </c>
      <c r="F1" s="85" t="s">
        <v>864</v>
      </c>
      <c r="G1" s="85" t="s">
        <v>866</v>
      </c>
      <c r="H1" s="85" t="s">
        <v>867</v>
      </c>
      <c r="I1" s="85" t="s">
        <v>868</v>
      </c>
      <c r="J1" s="85" t="s">
        <v>999</v>
      </c>
      <c r="K1" s="85" t="s">
        <v>10</v>
      </c>
      <c r="L1" s="51" t="s">
        <v>871</v>
      </c>
    </row>
    <row r="2" customFormat="false" ht="15.75" hidden="false" customHeight="false" outlineLevel="0" collapsed="false">
      <c r="A2" s="43" t="s">
        <v>1000</v>
      </c>
      <c r="B2" s="43" t="s">
        <v>873</v>
      </c>
      <c r="C2" s="96" t="n">
        <v>100.0501117</v>
      </c>
      <c r="D2" s="96" t="n">
        <v>650.32590374</v>
      </c>
      <c r="E2" s="87" t="n">
        <f aca="false">D2-C2</f>
        <v>550.27579204</v>
      </c>
      <c r="F2" s="51" t="s">
        <v>1001</v>
      </c>
      <c r="G2" s="51" t="s">
        <v>890</v>
      </c>
      <c r="H2" s="88" t="s">
        <v>891</v>
      </c>
      <c r="I2" s="51" t="n">
        <v>650.32590374</v>
      </c>
      <c r="J2" s="51" t="s">
        <v>902</v>
      </c>
      <c r="K2" s="51" t="s">
        <v>1002</v>
      </c>
      <c r="L2" s="51" t="s">
        <v>875</v>
      </c>
    </row>
    <row r="3" customFormat="false" ht="15.75" hidden="false" customHeight="false" outlineLevel="0" collapsed="false">
      <c r="A3" s="43" t="s">
        <v>872</v>
      </c>
      <c r="B3" s="43" t="s">
        <v>873</v>
      </c>
      <c r="C3" s="96" t="n">
        <v>89.40065122</v>
      </c>
      <c r="D3" s="96" t="n">
        <v>41.56249</v>
      </c>
      <c r="E3" s="87" t="n">
        <f aca="false">D3-C3</f>
        <v>-47.83816122</v>
      </c>
      <c r="F3" s="51" t="s">
        <v>1003</v>
      </c>
      <c r="G3" s="51" t="s">
        <v>711</v>
      </c>
      <c r="H3" s="88"/>
      <c r="I3" s="51" t="n">
        <v>89.40065122</v>
      </c>
      <c r="J3" s="51" t="s">
        <v>902</v>
      </c>
    </row>
    <row r="4" customFormat="false" ht="15.75" hidden="false" customHeight="false" outlineLevel="0" collapsed="false">
      <c r="A4" s="43" t="s">
        <v>872</v>
      </c>
      <c r="B4" s="43" t="s">
        <v>883</v>
      </c>
      <c r="C4" s="96" t="n">
        <v>5259.031226</v>
      </c>
      <c r="D4" s="97" t="s">
        <v>878</v>
      </c>
      <c r="E4" s="87" t="e">
        <f aca="false">D4-C4</f>
        <v>#VALUE!</v>
      </c>
      <c r="F4" s="51" t="s">
        <v>1003</v>
      </c>
      <c r="G4" s="51" t="s">
        <v>711</v>
      </c>
      <c r="H4" s="88"/>
      <c r="J4" s="51" t="s">
        <v>902</v>
      </c>
      <c r="L4" s="51" t="s">
        <v>882</v>
      </c>
    </row>
    <row r="5" customFormat="false" ht="15.75" hidden="false" customHeight="false" outlineLevel="0" collapsed="false">
      <c r="A5" s="43" t="s">
        <v>872</v>
      </c>
      <c r="B5" s="43" t="s">
        <v>876</v>
      </c>
      <c r="C5" s="96" t="n">
        <v>143.8546202</v>
      </c>
      <c r="D5" s="96" t="n">
        <v>64.59791</v>
      </c>
      <c r="E5" s="87" t="n">
        <f aca="false">D5-C5</f>
        <v>-79.2567102</v>
      </c>
      <c r="F5" s="51" t="s">
        <v>1003</v>
      </c>
      <c r="G5" s="51" t="s">
        <v>711</v>
      </c>
      <c r="H5" s="88"/>
      <c r="J5" s="51" t="s">
        <v>902</v>
      </c>
    </row>
    <row r="6" customFormat="false" ht="15.75" hidden="false" customHeight="false" outlineLevel="0" collapsed="false">
      <c r="A6" s="43" t="s">
        <v>1004</v>
      </c>
      <c r="B6" s="43" t="s">
        <v>873</v>
      </c>
      <c r="C6" s="96" t="n">
        <v>276.2331773</v>
      </c>
      <c r="D6" s="96" t="n">
        <v>165.1527</v>
      </c>
      <c r="E6" s="87" t="n">
        <f aca="false">D6-C6</f>
        <v>-111.0804773</v>
      </c>
      <c r="F6" s="51" t="s">
        <v>1005</v>
      </c>
      <c r="G6" s="51" t="s">
        <v>711</v>
      </c>
      <c r="H6" s="88"/>
      <c r="I6" s="51" t="n">
        <v>276.3998499</v>
      </c>
      <c r="J6" s="51" t="s">
        <v>911</v>
      </c>
      <c r="K6" s="51" t="s">
        <v>1006</v>
      </c>
    </row>
    <row r="7" customFormat="false" ht="15.75" hidden="false" customHeight="false" outlineLevel="0" collapsed="false">
      <c r="A7" s="43" t="s">
        <v>1004</v>
      </c>
      <c r="B7" s="43" t="s">
        <v>876</v>
      </c>
      <c r="C7" s="96" t="n">
        <v>371.5443389</v>
      </c>
      <c r="D7" s="96" t="n">
        <v>7601.19</v>
      </c>
      <c r="E7" s="87" t="n">
        <f aca="false">D7-C7</f>
        <v>7229.6456611</v>
      </c>
      <c r="F7" s="51" t="s">
        <v>1005</v>
      </c>
      <c r="G7" s="51" t="s">
        <v>711</v>
      </c>
      <c r="H7" s="88"/>
      <c r="I7" s="51" t="n">
        <v>371.5443389</v>
      </c>
      <c r="J7" s="51" t="s">
        <v>902</v>
      </c>
    </row>
    <row r="8" customFormat="false" ht="15.75" hidden="false" customHeight="false" outlineLevel="0" collapsed="false">
      <c r="A8" s="43" t="s">
        <v>877</v>
      </c>
      <c r="B8" s="43" t="s">
        <v>873</v>
      </c>
      <c r="C8" s="96" t="n">
        <v>4.73388349</v>
      </c>
      <c r="D8" s="97" t="s">
        <v>878</v>
      </c>
      <c r="E8" s="87" t="e">
        <f aca="false">D8-C8</f>
        <v>#VALUE!</v>
      </c>
      <c r="F8" s="51" t="s">
        <v>1007</v>
      </c>
      <c r="G8" s="51" t="s">
        <v>881</v>
      </c>
      <c r="H8" s="88"/>
      <c r="J8" s="51" t="s">
        <v>915</v>
      </c>
    </row>
    <row r="9" customFormat="false" ht="15.75" hidden="false" customHeight="false" outlineLevel="0" collapsed="false">
      <c r="A9" s="43" t="s">
        <v>877</v>
      </c>
      <c r="B9" s="43" t="s">
        <v>883</v>
      </c>
      <c r="C9" s="96" t="n">
        <v>1.1795752</v>
      </c>
      <c r="D9" s="97" t="s">
        <v>878</v>
      </c>
      <c r="E9" s="87" t="e">
        <f aca="false">D9-C9</f>
        <v>#VALUE!</v>
      </c>
      <c r="F9" s="51" t="s">
        <v>1007</v>
      </c>
      <c r="G9" s="51" t="s">
        <v>881</v>
      </c>
      <c r="H9" s="88"/>
      <c r="J9" s="51" t="s">
        <v>915</v>
      </c>
    </row>
    <row r="10" customFormat="false" ht="15.75" hidden="false" customHeight="false" outlineLevel="0" collapsed="false">
      <c r="A10" s="43" t="s">
        <v>884</v>
      </c>
      <c r="B10" s="43" t="s">
        <v>873</v>
      </c>
      <c r="C10" s="96" t="n">
        <v>252.2993292</v>
      </c>
      <c r="D10" s="96" t="n">
        <v>260.22648673</v>
      </c>
      <c r="E10" s="87" t="n">
        <f aca="false">D10-C10</f>
        <v>7.92715752999999</v>
      </c>
      <c r="F10" s="51" t="s">
        <v>1008</v>
      </c>
      <c r="G10" s="51" t="s">
        <v>881</v>
      </c>
      <c r="H10" s="88" t="s">
        <v>1009</v>
      </c>
      <c r="J10" s="51" t="s">
        <v>915</v>
      </c>
    </row>
    <row r="11" customFormat="false" ht="15.75" hidden="false" customHeight="false" outlineLevel="0" collapsed="false">
      <c r="A11" s="43" t="s">
        <v>884</v>
      </c>
      <c r="B11" s="43" t="s">
        <v>876</v>
      </c>
      <c r="C11" s="96" t="n">
        <v>132.7851635</v>
      </c>
      <c r="D11" s="96" t="n">
        <v>132.542</v>
      </c>
      <c r="E11" s="87" t="n">
        <f aca="false">D11-C11</f>
        <v>-0.243163500000009</v>
      </c>
      <c r="G11" s="51" t="s">
        <v>881</v>
      </c>
      <c r="H11" s="88" t="s">
        <v>1010</v>
      </c>
      <c r="J11" s="51" t="s">
        <v>915</v>
      </c>
    </row>
    <row r="12" customFormat="false" ht="15.75" hidden="false" customHeight="false" outlineLevel="0" collapsed="false">
      <c r="A12" s="43" t="s">
        <v>1011</v>
      </c>
      <c r="B12" s="43" t="s">
        <v>873</v>
      </c>
      <c r="C12" s="96" t="n">
        <v>14.382871</v>
      </c>
      <c r="D12" s="96" t="n">
        <v>14.382871</v>
      </c>
      <c r="E12" s="87" t="n">
        <f aca="false">D12-C12</f>
        <v>0</v>
      </c>
      <c r="F12" s="51" t="s">
        <v>1012</v>
      </c>
      <c r="G12" s="51" t="s">
        <v>890</v>
      </c>
      <c r="H12" s="88" t="s">
        <v>891</v>
      </c>
      <c r="I12" s="51" t="n">
        <v>14.382871</v>
      </c>
      <c r="J12" s="51" t="s">
        <v>902</v>
      </c>
      <c r="K12" s="51" t="s">
        <v>1013</v>
      </c>
    </row>
    <row r="13" customFormat="false" ht="15.75" hidden="false" customHeight="false" outlineLevel="0" collapsed="false">
      <c r="A13" s="43" t="s">
        <v>892</v>
      </c>
      <c r="B13" s="43" t="s">
        <v>873</v>
      </c>
      <c r="C13" s="96" t="n">
        <v>0.00409697</v>
      </c>
      <c r="D13" s="96" t="n">
        <v>0.011387</v>
      </c>
      <c r="E13" s="87" t="n">
        <f aca="false">D13-C13</f>
        <v>0.00729003</v>
      </c>
      <c r="F13" s="51" t="s">
        <v>1014</v>
      </c>
      <c r="G13" s="51" t="s">
        <v>881</v>
      </c>
      <c r="H13" s="88" t="s">
        <v>1009</v>
      </c>
      <c r="J13" s="51" t="s">
        <v>915</v>
      </c>
    </row>
    <row r="14" customFormat="false" ht="15.75" hidden="false" customHeight="false" outlineLevel="0" collapsed="false">
      <c r="A14" s="43" t="s">
        <v>892</v>
      </c>
      <c r="B14" s="43" t="s">
        <v>883</v>
      </c>
      <c r="C14" s="96" t="n">
        <v>0.0017811</v>
      </c>
      <c r="D14" s="97" t="n">
        <v>0</v>
      </c>
      <c r="E14" s="87" t="n">
        <f aca="false">D14-C14</f>
        <v>-0.0017811</v>
      </c>
      <c r="F14" s="51" t="s">
        <v>1014</v>
      </c>
      <c r="G14" s="51" t="s">
        <v>881</v>
      </c>
      <c r="H14" s="88" t="s">
        <v>1010</v>
      </c>
      <c r="J14" s="51" t="s">
        <v>915</v>
      </c>
    </row>
    <row r="15" customFormat="false" ht="15.75" hidden="false" customHeight="false" outlineLevel="0" collapsed="false">
      <c r="A15" s="43" t="s">
        <v>455</v>
      </c>
      <c r="B15" s="43" t="s">
        <v>908</v>
      </c>
      <c r="C15" s="96" t="n">
        <v>35.79431763</v>
      </c>
      <c r="D15" s="97" t="s">
        <v>878</v>
      </c>
      <c r="E15" s="87" t="e">
        <f aca="false">D15-C15</f>
        <v>#VALUE!</v>
      </c>
      <c r="F15" s="51" t="s">
        <v>1007</v>
      </c>
      <c r="G15" s="51" t="s">
        <v>881</v>
      </c>
      <c r="H15" s="88"/>
      <c r="J15" s="51" t="s">
        <v>915</v>
      </c>
    </row>
    <row r="16" customFormat="false" ht="15.75" hidden="false" customHeight="false" outlineLevel="0" collapsed="false">
      <c r="A16" s="43" t="s">
        <v>391</v>
      </c>
      <c r="B16" s="43" t="s">
        <v>873</v>
      </c>
      <c r="C16" s="96" t="n">
        <v>8.48005842</v>
      </c>
      <c r="D16" s="96" t="n">
        <v>8.48005126</v>
      </c>
      <c r="E16" s="87" t="n">
        <f aca="false">D16-C16</f>
        <v>-7.16000000089423E-006</v>
      </c>
      <c r="F16" s="51" t="s">
        <v>472</v>
      </c>
      <c r="G16" s="51" t="s">
        <v>890</v>
      </c>
      <c r="H16" s="88" t="s">
        <v>891</v>
      </c>
      <c r="I16" s="51" t="n">
        <v>8.48005842</v>
      </c>
      <c r="J16" s="51" t="s">
        <v>902</v>
      </c>
      <c r="K16" s="51" t="s">
        <v>1015</v>
      </c>
    </row>
    <row r="17" customFormat="false" ht="15.75" hidden="false" customHeight="false" outlineLevel="0" collapsed="false">
      <c r="A17" s="43" t="s">
        <v>391</v>
      </c>
      <c r="B17" s="43" t="s">
        <v>883</v>
      </c>
      <c r="C17" s="96" t="n">
        <v>3.17937178</v>
      </c>
      <c r="D17" s="97" t="n">
        <v>3.179185557</v>
      </c>
      <c r="E17" s="87" t="n">
        <f aca="false">D17-C17</f>
        <v>-0.000186223000000041</v>
      </c>
      <c r="F17" s="51" t="s">
        <v>472</v>
      </c>
      <c r="G17" s="51" t="s">
        <v>890</v>
      </c>
      <c r="H17" s="88" t="s">
        <v>992</v>
      </c>
      <c r="I17" s="51" t="n">
        <v>3.17937178</v>
      </c>
      <c r="J17" s="51" t="s">
        <v>902</v>
      </c>
      <c r="K17" s="51" t="s">
        <v>1015</v>
      </c>
    </row>
    <row r="18" customFormat="false" ht="15.75" hidden="false" customHeight="false" outlineLevel="0" collapsed="false">
      <c r="A18" s="43" t="s">
        <v>391</v>
      </c>
      <c r="B18" s="43" t="s">
        <v>876</v>
      </c>
      <c r="C18" s="96" t="n">
        <v>14.69737389</v>
      </c>
      <c r="D18" s="96" t="n">
        <v>14.697545027</v>
      </c>
      <c r="E18" s="87" t="n">
        <f aca="false">D18-C18</f>
        <v>0.000171137000000599</v>
      </c>
      <c r="F18" s="51" t="s">
        <v>472</v>
      </c>
      <c r="G18" s="51" t="s">
        <v>890</v>
      </c>
      <c r="H18" s="88" t="s">
        <v>992</v>
      </c>
      <c r="I18" s="51" t="n">
        <v>14.69737389</v>
      </c>
      <c r="J18" s="51" t="s">
        <v>902</v>
      </c>
      <c r="K18" s="51" t="s">
        <v>1015</v>
      </c>
    </row>
    <row r="19" customFormat="false" ht="15.75" hidden="false" customHeight="false" outlineLevel="0" collapsed="false">
      <c r="A19" s="98" t="s">
        <v>445</v>
      </c>
      <c r="B19" s="98" t="s">
        <v>873</v>
      </c>
      <c r="C19" s="96" t="n">
        <v>8.49402311</v>
      </c>
      <c r="D19" s="96" t="n">
        <v>8.494023113</v>
      </c>
      <c r="E19" s="87" t="n">
        <f aca="false">D19-C19</f>
        <v>3.00000024822111E-009</v>
      </c>
      <c r="F19" s="51" t="s">
        <v>472</v>
      </c>
      <c r="G19" s="51" t="s">
        <v>890</v>
      </c>
      <c r="H19" s="88" t="s">
        <v>891</v>
      </c>
      <c r="I19" s="51" t="n">
        <v>8.49402311</v>
      </c>
      <c r="J19" s="51" t="s">
        <v>902</v>
      </c>
      <c r="K19" s="51" t="s">
        <v>906</v>
      </c>
    </row>
    <row r="20" customFormat="false" ht="15.75" hidden="false" customHeight="false" outlineLevel="0" collapsed="false">
      <c r="A20" s="43" t="s">
        <v>907</v>
      </c>
      <c r="B20" s="43" t="s">
        <v>908</v>
      </c>
      <c r="C20" s="96" t="n">
        <v>23.77173678</v>
      </c>
      <c r="D20" s="96" t="n">
        <v>23.77173678</v>
      </c>
      <c r="E20" s="87" t="n">
        <f aca="false">D20-C20</f>
        <v>0</v>
      </c>
      <c r="F20" s="51" t="s">
        <v>472</v>
      </c>
      <c r="G20" s="51" t="s">
        <v>890</v>
      </c>
      <c r="H20" s="88" t="s">
        <v>891</v>
      </c>
      <c r="I20" s="93" t="n">
        <v>23.77173678</v>
      </c>
      <c r="J20" s="51" t="s">
        <v>902</v>
      </c>
      <c r="K20" s="51" t="s">
        <v>906</v>
      </c>
    </row>
    <row r="21" customFormat="false" ht="15.75" hidden="false" customHeight="false" outlineLevel="0" collapsed="false">
      <c r="A21" s="43" t="s">
        <v>914</v>
      </c>
      <c r="B21" s="43" t="s">
        <v>873</v>
      </c>
      <c r="C21" s="96" t="n">
        <v>22.60157384</v>
      </c>
      <c r="D21" s="96" t="n">
        <v>23.07264</v>
      </c>
      <c r="E21" s="87" t="n">
        <f aca="false">D21-C21</f>
        <v>0.471066159999999</v>
      </c>
      <c r="F21" s="51" t="s">
        <v>1016</v>
      </c>
      <c r="G21" s="51" t="s">
        <v>1017</v>
      </c>
      <c r="H21" s="88"/>
      <c r="I21" s="51" t="n">
        <v>22.60157384</v>
      </c>
      <c r="J21" s="51" t="s">
        <v>902</v>
      </c>
    </row>
    <row r="22" customFormat="false" ht="15.75" hidden="false" customHeight="false" outlineLevel="0" collapsed="false">
      <c r="A22" s="43" t="s">
        <v>482</v>
      </c>
      <c r="B22" s="43" t="s">
        <v>883</v>
      </c>
      <c r="C22" s="96" t="n">
        <v>4.45358343</v>
      </c>
      <c r="D22" s="97" t="s">
        <v>878</v>
      </c>
      <c r="E22" s="87" t="e">
        <f aca="false">D22-C22</f>
        <v>#VALUE!</v>
      </c>
      <c r="G22" s="51" t="s">
        <v>943</v>
      </c>
      <c r="H22" s="88"/>
      <c r="J22" s="51" t="s">
        <v>915</v>
      </c>
    </row>
    <row r="23" customFormat="false" ht="15.75" hidden="false" customHeight="false" outlineLevel="0" collapsed="false">
      <c r="A23" s="43" t="s">
        <v>1018</v>
      </c>
      <c r="B23" s="43" t="s">
        <v>883</v>
      </c>
      <c r="C23" s="96" t="n">
        <v>4.71605224</v>
      </c>
      <c r="D23" s="97" t="s">
        <v>878</v>
      </c>
      <c r="E23" s="87" t="e">
        <f aca="false">D23-C23</f>
        <v>#VALUE!</v>
      </c>
      <c r="G23" s="51" t="s">
        <v>943</v>
      </c>
      <c r="H23" s="88"/>
      <c r="J23" s="51" t="s">
        <v>915</v>
      </c>
    </row>
    <row r="24" customFormat="false" ht="15.75" hidden="false" customHeight="false" outlineLevel="0" collapsed="false">
      <c r="A24" s="43" t="s">
        <v>484</v>
      </c>
      <c r="B24" s="43" t="s">
        <v>876</v>
      </c>
      <c r="C24" s="96" t="n">
        <v>5.77521465</v>
      </c>
      <c r="D24" s="96" t="n">
        <v>8.713326</v>
      </c>
      <c r="E24" s="87" t="n">
        <f aca="false">D24-C24</f>
        <v>2.93811135</v>
      </c>
      <c r="G24" s="51" t="s">
        <v>943</v>
      </c>
      <c r="H24" s="88"/>
      <c r="J24" s="51" t="s">
        <v>915</v>
      </c>
    </row>
    <row r="25" customFormat="false" ht="15.75" hidden="false" customHeight="false" outlineLevel="0" collapsed="false">
      <c r="A25" s="43" t="s">
        <v>1019</v>
      </c>
      <c r="B25" s="43" t="s">
        <v>873</v>
      </c>
      <c r="C25" s="96" t="n">
        <v>1E-008</v>
      </c>
      <c r="D25" s="96" t="n">
        <v>3.032586</v>
      </c>
      <c r="E25" s="87" t="n">
        <f aca="false">D25-C25</f>
        <v>3.03258599</v>
      </c>
      <c r="G25" s="51" t="s">
        <v>943</v>
      </c>
      <c r="H25" s="88"/>
      <c r="J25" s="51" t="s">
        <v>915</v>
      </c>
    </row>
    <row r="26" customFormat="false" ht="15.75" hidden="false" customHeight="false" outlineLevel="0" collapsed="false">
      <c r="A26" s="43" t="s">
        <v>1019</v>
      </c>
      <c r="B26" s="43" t="s">
        <v>876</v>
      </c>
      <c r="C26" s="96" t="n">
        <v>1E-008</v>
      </c>
      <c r="D26" s="96" t="n">
        <v>27.3278</v>
      </c>
      <c r="E26" s="87" t="n">
        <f aca="false">D26-C26</f>
        <v>27.32779999</v>
      </c>
      <c r="G26" s="51" t="s">
        <v>943</v>
      </c>
      <c r="H26" s="88"/>
      <c r="J26" s="51" t="s">
        <v>915</v>
      </c>
    </row>
    <row r="27" customFormat="false" ht="15.75" hidden="false" customHeight="false" outlineLevel="0" collapsed="false">
      <c r="A27" s="43" t="s">
        <v>458</v>
      </c>
      <c r="B27" s="43" t="s">
        <v>873</v>
      </c>
      <c r="C27" s="96" t="n">
        <v>7.30830171</v>
      </c>
      <c r="D27" s="96" t="n">
        <v>0</v>
      </c>
      <c r="E27" s="87" t="n">
        <f aca="false">D27-C27</f>
        <v>-7.30830171</v>
      </c>
      <c r="G27" s="51" t="s">
        <v>943</v>
      </c>
      <c r="H27" s="88"/>
      <c r="J27" s="51" t="s">
        <v>915</v>
      </c>
    </row>
    <row r="28" customFormat="false" ht="15.75" hidden="false" customHeight="false" outlineLevel="0" collapsed="false">
      <c r="A28" s="43" t="s">
        <v>492</v>
      </c>
      <c r="B28" s="43" t="s">
        <v>873</v>
      </c>
      <c r="C28" s="96" t="n">
        <v>6.68078955</v>
      </c>
      <c r="D28" s="99" t="n">
        <v>11.89636</v>
      </c>
      <c r="E28" s="100" t="n">
        <f aca="false">D28-C28</f>
        <v>5.21557045</v>
      </c>
      <c r="G28" s="51" t="s">
        <v>943</v>
      </c>
      <c r="H28" s="88"/>
      <c r="J28" s="51" t="s">
        <v>915</v>
      </c>
    </row>
    <row r="29" customFormat="false" ht="15.75" hidden="false" customHeight="false" outlineLevel="0" collapsed="false">
      <c r="A29" s="43" t="s">
        <v>1020</v>
      </c>
      <c r="B29" s="43" t="s">
        <v>873</v>
      </c>
      <c r="C29" s="96" t="n">
        <v>6.50284883</v>
      </c>
      <c r="D29" s="99" t="n">
        <v>13.0057</v>
      </c>
      <c r="E29" s="100" t="n">
        <f aca="false">D29-C29</f>
        <v>6.50285117</v>
      </c>
      <c r="G29" s="51" t="s">
        <v>943</v>
      </c>
      <c r="H29" s="88"/>
      <c r="J29" s="9"/>
    </row>
    <row r="30" customFormat="false" ht="15.75" hidden="false" customHeight="false" outlineLevel="0" collapsed="false">
      <c r="A30" s="98" t="s">
        <v>1021</v>
      </c>
      <c r="B30" s="98" t="s">
        <v>873</v>
      </c>
      <c r="C30" s="96" t="n">
        <v>5.40579385</v>
      </c>
      <c r="D30" s="101" t="n">
        <v>4.8256</v>
      </c>
      <c r="E30" s="87" t="n">
        <f aca="false">D30-C30</f>
        <v>-0.580193850000001</v>
      </c>
      <c r="G30" s="51" t="s">
        <v>943</v>
      </c>
      <c r="H30" s="88"/>
      <c r="J30" s="9"/>
    </row>
    <row r="31" customFormat="false" ht="15.75" hidden="false" customHeight="false" outlineLevel="0" collapsed="false">
      <c r="A31" s="98" t="s">
        <v>1021</v>
      </c>
      <c r="B31" s="98" t="s">
        <v>876</v>
      </c>
      <c r="C31" s="96" t="n">
        <v>32.3942062</v>
      </c>
      <c r="D31" s="101" t="n">
        <v>12.5019</v>
      </c>
      <c r="E31" s="87" t="n">
        <f aca="false">D31-C31</f>
        <v>-19.8923062</v>
      </c>
      <c r="G31" s="51" t="s">
        <v>943</v>
      </c>
      <c r="H31" s="88"/>
      <c r="J31" s="9"/>
    </row>
    <row r="32" customFormat="false" ht="15.75" hidden="false" customHeight="false" outlineLevel="0" collapsed="false">
      <c r="A32" s="43" t="s">
        <v>429</v>
      </c>
      <c r="B32" s="43" t="s">
        <v>883</v>
      </c>
      <c r="C32" s="96" t="n">
        <v>0.82813759</v>
      </c>
      <c r="D32" s="96" t="n">
        <v>-4.31764</v>
      </c>
      <c r="E32" s="87" t="n">
        <f aca="false">D32-C32</f>
        <v>-5.14577759</v>
      </c>
      <c r="G32" s="51" t="s">
        <v>943</v>
      </c>
      <c r="H32" s="88"/>
      <c r="J32" s="9"/>
    </row>
    <row r="33" customFormat="false" ht="15.75" hidden="false" customHeight="false" outlineLevel="0" collapsed="false">
      <c r="A33" s="43" t="s">
        <v>361</v>
      </c>
      <c r="B33" s="43" t="s">
        <v>883</v>
      </c>
      <c r="C33" s="96" t="n">
        <v>0.9213058</v>
      </c>
      <c r="D33" s="96" t="n">
        <v>-4.78778</v>
      </c>
      <c r="E33" s="87" t="n">
        <f aca="false">D33-C33</f>
        <v>-5.7090858</v>
      </c>
      <c r="G33" s="51" t="s">
        <v>943</v>
      </c>
      <c r="H33" s="88"/>
      <c r="J33" s="9"/>
    </row>
    <row r="34" customFormat="false" ht="15.75" hidden="false" customHeight="false" outlineLevel="0" collapsed="false">
      <c r="A34" s="43" t="s">
        <v>1022</v>
      </c>
      <c r="B34" s="43" t="s">
        <v>883</v>
      </c>
      <c r="C34" s="96" t="n">
        <v>0.74299018</v>
      </c>
      <c r="D34" s="96" t="n">
        <v>-3.87371</v>
      </c>
      <c r="E34" s="87" t="n">
        <f aca="false">D34-C34</f>
        <v>-4.61670018</v>
      </c>
      <c r="G34" s="51" t="s">
        <v>943</v>
      </c>
      <c r="H34" s="88"/>
      <c r="J34" s="9"/>
    </row>
    <row r="35" customFormat="false" ht="15.75" hidden="false" customHeight="false" outlineLevel="0" collapsed="false">
      <c r="A35" s="43" t="s">
        <v>1023</v>
      </c>
      <c r="B35" s="43" t="s">
        <v>883</v>
      </c>
      <c r="C35" s="96" t="n">
        <v>0.82657904</v>
      </c>
      <c r="D35" s="96" t="n">
        <v>-4.29551</v>
      </c>
      <c r="E35" s="87" t="n">
        <f aca="false">D35-C35</f>
        <v>-5.12208904</v>
      </c>
      <c r="G35" s="51" t="s">
        <v>943</v>
      </c>
      <c r="H35" s="88"/>
      <c r="J35" s="9"/>
    </row>
    <row r="36" customFormat="false" ht="15.75" hidden="false" customHeight="false" outlineLevel="0" collapsed="false">
      <c r="A36" s="43" t="s">
        <v>428</v>
      </c>
      <c r="B36" s="43" t="s">
        <v>883</v>
      </c>
      <c r="C36" s="96" t="n">
        <v>0.79534356</v>
      </c>
      <c r="D36" s="96" t="n">
        <v>-4.14666</v>
      </c>
      <c r="E36" s="87" t="n">
        <f aca="false">D36-C36</f>
        <v>-4.94200356</v>
      </c>
      <c r="G36" s="51" t="s">
        <v>943</v>
      </c>
      <c r="H36" s="88"/>
      <c r="J36" s="9"/>
    </row>
    <row r="37" customFormat="false" ht="15.75" hidden="false" customHeight="false" outlineLevel="0" collapsed="false">
      <c r="A37" s="43" t="s">
        <v>425</v>
      </c>
      <c r="B37" s="43" t="s">
        <v>883</v>
      </c>
      <c r="C37" s="96" t="n">
        <v>0.88482233</v>
      </c>
      <c r="D37" s="96" t="n">
        <v>-4.59819</v>
      </c>
      <c r="E37" s="87" t="n">
        <f aca="false">D37-C37</f>
        <v>-5.48301233</v>
      </c>
      <c r="G37" s="51" t="s">
        <v>943</v>
      </c>
      <c r="H37" s="88"/>
      <c r="J37" s="9"/>
    </row>
    <row r="38" customFormat="false" ht="15.75" hidden="false" customHeight="false" outlineLevel="0" collapsed="false">
      <c r="A38" s="43" t="s">
        <v>409</v>
      </c>
      <c r="B38" s="43" t="s">
        <v>883</v>
      </c>
      <c r="C38" s="96" t="n">
        <v>0.79945904</v>
      </c>
      <c r="D38" s="96" t="n">
        <v>-4.16812</v>
      </c>
      <c r="E38" s="87" t="n">
        <f aca="false">D38-C38</f>
        <v>-4.96757904</v>
      </c>
      <c r="G38" s="51" t="s">
        <v>943</v>
      </c>
      <c r="H38" s="88"/>
      <c r="J38" s="9"/>
    </row>
    <row r="39" customFormat="false" ht="15.75" hidden="false" customHeight="false" outlineLevel="0" collapsed="false">
      <c r="A39" s="43" t="s">
        <v>359</v>
      </c>
      <c r="B39" s="43" t="s">
        <v>883</v>
      </c>
      <c r="C39" s="96" t="n">
        <v>0.88940082</v>
      </c>
      <c r="D39" s="96" t="n">
        <v>-4.62198</v>
      </c>
      <c r="E39" s="87" t="n">
        <f aca="false">D39-C39</f>
        <v>-5.51138082</v>
      </c>
      <c r="G39" s="51" t="s">
        <v>943</v>
      </c>
      <c r="H39" s="88"/>
      <c r="J39" s="9"/>
    </row>
    <row r="40" customFormat="false" ht="15.75" hidden="false" customHeight="false" outlineLevel="0" collapsed="false">
      <c r="A40" s="43" t="s">
        <v>360</v>
      </c>
      <c r="B40" s="43" t="s">
        <v>883</v>
      </c>
      <c r="C40" s="96" t="n">
        <v>0.81094037</v>
      </c>
      <c r="D40" s="96" t="n">
        <v>-4.22798</v>
      </c>
      <c r="E40" s="87" t="n">
        <f aca="false">D40-C40</f>
        <v>-5.03892037</v>
      </c>
      <c r="G40" s="51" t="s">
        <v>943</v>
      </c>
      <c r="H40" s="88"/>
      <c r="J40" s="9"/>
    </row>
    <row r="41" customFormat="false" ht="15.75" hidden="false" customHeight="false" outlineLevel="0" collapsed="false">
      <c r="A41" s="43" t="s">
        <v>1024</v>
      </c>
      <c r="B41" s="43" t="s">
        <v>873</v>
      </c>
      <c r="C41" s="96" t="n">
        <v>9.50318731</v>
      </c>
      <c r="D41" s="99" t="n">
        <v>7.609217</v>
      </c>
      <c r="E41" s="100" t="n">
        <f aca="false">D41-C41</f>
        <v>-1.89397031</v>
      </c>
      <c r="G41" s="51" t="s">
        <v>943</v>
      </c>
      <c r="H41" s="88"/>
      <c r="J41" s="9"/>
    </row>
    <row r="42" customFormat="false" ht="15.75" hidden="false" customHeight="false" outlineLevel="0" collapsed="false">
      <c r="A42" s="43" t="s">
        <v>1024</v>
      </c>
      <c r="B42" s="43" t="s">
        <v>876</v>
      </c>
      <c r="C42" s="96" t="n">
        <v>38.93470354</v>
      </c>
      <c r="D42" s="96" t="n">
        <v>31.30146</v>
      </c>
      <c r="E42" s="87" t="n">
        <f aca="false">D42-C42</f>
        <v>-7.63324354</v>
      </c>
      <c r="G42" s="51" t="s">
        <v>943</v>
      </c>
      <c r="H42" s="88"/>
      <c r="J42" s="9"/>
    </row>
    <row r="43" customFormat="false" ht="15.75" hidden="false" customHeight="false" outlineLevel="0" collapsed="false">
      <c r="A43" s="43" t="s">
        <v>387</v>
      </c>
      <c r="B43" s="43" t="s">
        <v>873</v>
      </c>
      <c r="C43" s="96" t="n">
        <v>4.77264523</v>
      </c>
      <c r="D43" s="99" t="n">
        <v>3.836957</v>
      </c>
      <c r="E43" s="100" t="n">
        <f aca="false">D43-C43</f>
        <v>-0.93568823</v>
      </c>
      <c r="G43" s="51" t="s">
        <v>943</v>
      </c>
      <c r="H43" s="88"/>
      <c r="J43" s="9"/>
    </row>
    <row r="44" customFormat="false" ht="15.75" hidden="false" customHeight="false" outlineLevel="0" collapsed="false">
      <c r="A44" s="43" t="s">
        <v>387</v>
      </c>
      <c r="B44" s="43" t="s">
        <v>876</v>
      </c>
      <c r="C44" s="96" t="n">
        <v>45.91549783</v>
      </c>
      <c r="D44" s="96" t="n">
        <v>36.91366</v>
      </c>
      <c r="E44" s="87" t="n">
        <f aca="false">D44-C44</f>
        <v>-9.00183783</v>
      </c>
      <c r="G44" s="51" t="s">
        <v>943</v>
      </c>
      <c r="H44" s="88"/>
      <c r="J44" s="9"/>
    </row>
    <row r="45" customFormat="false" ht="15.75" hidden="false" customHeight="false" outlineLevel="0" collapsed="false">
      <c r="A45" s="43" t="s">
        <v>421</v>
      </c>
      <c r="B45" s="43" t="s">
        <v>876</v>
      </c>
      <c r="C45" s="96" t="n">
        <v>1.39976785</v>
      </c>
      <c r="D45" s="96" t="n">
        <v>9.194746</v>
      </c>
      <c r="E45" s="87" t="n">
        <f aca="false">D45-C45</f>
        <v>7.79497815</v>
      </c>
      <c r="G45" s="51" t="s">
        <v>943</v>
      </c>
      <c r="H45" s="88"/>
      <c r="J45" s="9"/>
    </row>
    <row r="46" customFormat="false" ht="15.75" hidden="false" customHeight="false" outlineLevel="0" collapsed="false">
      <c r="A46" s="43" t="s">
        <v>476</v>
      </c>
      <c r="B46" s="43" t="s">
        <v>873</v>
      </c>
      <c r="C46" s="96" t="n">
        <v>4.42759539</v>
      </c>
      <c r="D46" s="99" t="n">
        <v>4.91955</v>
      </c>
      <c r="E46" s="100" t="n">
        <f aca="false">D46-C46</f>
        <v>0.491954610000001</v>
      </c>
      <c r="G46" s="51" t="s">
        <v>943</v>
      </c>
      <c r="H46" s="88"/>
      <c r="J46" s="9"/>
    </row>
    <row r="47" customFormat="false" ht="15.75" hidden="false" customHeight="false" outlineLevel="0" collapsed="false">
      <c r="A47" s="43" t="s">
        <v>926</v>
      </c>
      <c r="B47" s="43" t="s">
        <v>883</v>
      </c>
      <c r="C47" s="96" t="n">
        <v>0.0077722</v>
      </c>
      <c r="D47" s="96" t="n">
        <v>0.77722</v>
      </c>
      <c r="E47" s="87" t="n">
        <f aca="false">D47-C47</f>
        <v>0.7694478</v>
      </c>
      <c r="G47" s="51" t="s">
        <v>943</v>
      </c>
      <c r="H47" s="88"/>
      <c r="J47" s="9"/>
    </row>
    <row r="48" customFormat="false" ht="15.75" hidden="false" customHeight="false" outlineLevel="0" collapsed="false">
      <c r="A48" s="43" t="s">
        <v>1025</v>
      </c>
      <c r="B48" s="43" t="s">
        <v>873</v>
      </c>
      <c r="C48" s="96" t="n">
        <v>5.67797579</v>
      </c>
      <c r="D48" s="96" t="n">
        <v>5.805634</v>
      </c>
      <c r="E48" s="87" t="n">
        <f aca="false">D48-C48</f>
        <v>0.127658210000001</v>
      </c>
      <c r="G48" s="51" t="s">
        <v>943</v>
      </c>
      <c r="H48" s="88"/>
      <c r="J48" s="9"/>
    </row>
    <row r="49" customFormat="false" ht="15.75" hidden="false" customHeight="false" outlineLevel="0" collapsed="false">
      <c r="A49" s="43" t="s">
        <v>1025</v>
      </c>
      <c r="B49" s="43" t="s">
        <v>883</v>
      </c>
      <c r="C49" s="96" t="n">
        <v>1.98294952</v>
      </c>
      <c r="D49" s="96" t="n">
        <v>1.387014</v>
      </c>
      <c r="E49" s="87" t="n">
        <f aca="false">D49-C49</f>
        <v>-0.59593552</v>
      </c>
      <c r="G49" s="51" t="s">
        <v>943</v>
      </c>
      <c r="H49" s="88"/>
      <c r="J49" s="9"/>
    </row>
    <row r="50" customFormat="false" ht="15.75" hidden="false" customHeight="false" outlineLevel="0" collapsed="false">
      <c r="A50" s="43" t="s">
        <v>1025</v>
      </c>
      <c r="B50" s="43" t="s">
        <v>876</v>
      </c>
      <c r="C50" s="96" t="n">
        <v>8.38702333</v>
      </c>
      <c r="D50" s="96" t="n">
        <v>6.936361</v>
      </c>
      <c r="E50" s="87" t="n">
        <f aca="false">D50-C50</f>
        <v>-1.45066233</v>
      </c>
      <c r="G50" s="51" t="s">
        <v>943</v>
      </c>
      <c r="H50" s="88"/>
      <c r="J50" s="9"/>
    </row>
    <row r="51" customFormat="false" ht="15.75" hidden="false" customHeight="false" outlineLevel="0" collapsed="false">
      <c r="A51" s="43" t="s">
        <v>1026</v>
      </c>
      <c r="B51" s="43" t="s">
        <v>883</v>
      </c>
      <c r="C51" s="96" t="n">
        <v>0.01010147</v>
      </c>
      <c r="D51" s="97" t="s">
        <v>878</v>
      </c>
      <c r="E51" s="87" t="e">
        <f aca="false">D51-C51</f>
        <v>#VALUE!</v>
      </c>
      <c r="G51" s="51" t="s">
        <v>943</v>
      </c>
      <c r="H51" s="88"/>
      <c r="J51" s="9"/>
    </row>
    <row r="52" customFormat="false" ht="15.75" hidden="false" customHeight="false" outlineLevel="0" collapsed="false">
      <c r="A52" s="43" t="s">
        <v>1027</v>
      </c>
      <c r="B52" s="43" t="s">
        <v>883</v>
      </c>
      <c r="C52" s="96" t="n">
        <v>0.04689889</v>
      </c>
      <c r="D52" s="97" t="s">
        <v>878</v>
      </c>
      <c r="E52" s="87" t="e">
        <f aca="false">D52-C52</f>
        <v>#VALUE!</v>
      </c>
      <c r="G52" s="51" t="s">
        <v>943</v>
      </c>
      <c r="H52" s="88"/>
      <c r="J52" s="9"/>
    </row>
    <row r="53" customFormat="false" ht="15.75" hidden="false" customHeight="false" outlineLevel="0" collapsed="false">
      <c r="A53" s="43" t="s">
        <v>931</v>
      </c>
      <c r="B53" s="43" t="s">
        <v>929</v>
      </c>
      <c r="C53" s="96" t="n">
        <v>8.91643571</v>
      </c>
      <c r="D53" s="97" t="s">
        <v>878</v>
      </c>
      <c r="E53" s="87" t="e">
        <f aca="false">D53-C53</f>
        <v>#VALUE!</v>
      </c>
      <c r="G53" s="51" t="s">
        <v>943</v>
      </c>
      <c r="H53" s="88"/>
      <c r="J53" s="9"/>
    </row>
    <row r="54" customFormat="false" ht="15.75" hidden="false" customHeight="false" outlineLevel="0" collapsed="false">
      <c r="A54" s="43" t="s">
        <v>931</v>
      </c>
      <c r="B54" s="43" t="s">
        <v>883</v>
      </c>
      <c r="C54" s="96" t="n">
        <v>35.92031463</v>
      </c>
      <c r="D54" s="97" t="s">
        <v>878</v>
      </c>
      <c r="E54" s="87" t="e">
        <f aca="false">D54-C54</f>
        <v>#VALUE!</v>
      </c>
      <c r="G54" s="51" t="s">
        <v>943</v>
      </c>
      <c r="H54" s="88"/>
      <c r="J54" s="9"/>
    </row>
    <row r="55" customFormat="false" ht="15.75" hidden="false" customHeight="false" outlineLevel="0" collapsed="false">
      <c r="A55" s="43" t="s">
        <v>1028</v>
      </c>
      <c r="B55" s="43" t="s">
        <v>873</v>
      </c>
      <c r="C55" s="96" t="n">
        <v>4.70712312</v>
      </c>
      <c r="D55" s="96" t="n">
        <v>4.189505</v>
      </c>
      <c r="E55" s="87" t="n">
        <f aca="false">D55-C55</f>
        <v>-0.517618120000001</v>
      </c>
      <c r="G55" s="51" t="s">
        <v>943</v>
      </c>
      <c r="H55" s="88"/>
      <c r="J55" s="9"/>
    </row>
    <row r="56" customFormat="false" ht="15.75" hidden="false" customHeight="false" outlineLevel="0" collapsed="false">
      <c r="A56" s="43" t="s">
        <v>1028</v>
      </c>
      <c r="B56" s="43" t="s">
        <v>876</v>
      </c>
      <c r="C56" s="96" t="n">
        <v>17.2542888</v>
      </c>
      <c r="D56" s="96" t="n">
        <v>15.35692</v>
      </c>
      <c r="E56" s="87" t="n">
        <f aca="false">D56-C56</f>
        <v>-1.8973688</v>
      </c>
      <c r="G56" s="51" t="s">
        <v>943</v>
      </c>
      <c r="H56" s="88"/>
      <c r="J56" s="9"/>
    </row>
    <row r="57" customFormat="false" ht="15.75" hidden="false" customHeight="false" outlineLevel="0" collapsed="false">
      <c r="A57" s="43" t="s">
        <v>937</v>
      </c>
      <c r="B57" s="43" t="s">
        <v>873</v>
      </c>
      <c r="C57" s="96" t="n">
        <v>7.04481397</v>
      </c>
      <c r="D57" s="96" t="n">
        <v>9.142707</v>
      </c>
      <c r="E57" s="87" t="n">
        <f aca="false">D57-C57</f>
        <v>2.09789303</v>
      </c>
      <c r="G57" s="51" t="s">
        <v>943</v>
      </c>
      <c r="H57" s="88"/>
      <c r="J57" s="9"/>
    </row>
    <row r="58" customFormat="false" ht="15.75" hidden="false" customHeight="false" outlineLevel="0" collapsed="false">
      <c r="A58" s="43" t="s">
        <v>937</v>
      </c>
      <c r="B58" s="43" t="s">
        <v>876</v>
      </c>
      <c r="C58" s="96" t="n">
        <v>5.00772546</v>
      </c>
      <c r="D58" s="96" t="n">
        <v>9.952269</v>
      </c>
      <c r="E58" s="87" t="n">
        <f aca="false">D58-C58</f>
        <v>4.94454354</v>
      </c>
      <c r="G58" s="51" t="s">
        <v>943</v>
      </c>
      <c r="H58" s="88"/>
      <c r="J58" s="9"/>
    </row>
    <row r="59" customFormat="false" ht="15.75" hidden="false" customHeight="false" outlineLevel="0" collapsed="false">
      <c r="A59" s="43" t="s">
        <v>1029</v>
      </c>
      <c r="B59" s="43" t="s">
        <v>883</v>
      </c>
      <c r="C59" s="96" t="n">
        <v>1001.014187</v>
      </c>
      <c r="D59" s="97" t="s">
        <v>878</v>
      </c>
      <c r="E59" s="87" t="e">
        <f aca="false">D59-C59</f>
        <v>#VALUE!</v>
      </c>
      <c r="G59" s="51" t="s">
        <v>943</v>
      </c>
      <c r="H59" s="88"/>
      <c r="J59" s="9"/>
    </row>
    <row r="60" customFormat="false" ht="15.75" hidden="false" customHeight="false" outlineLevel="0" collapsed="false">
      <c r="A60" s="43" t="s">
        <v>478</v>
      </c>
      <c r="B60" s="43" t="s">
        <v>883</v>
      </c>
      <c r="C60" s="96" t="n">
        <v>14.04956698</v>
      </c>
      <c r="D60" s="96" t="n">
        <v>14.06322</v>
      </c>
      <c r="E60" s="87" t="n">
        <f aca="false">D60-C60</f>
        <v>0.0136530199999996</v>
      </c>
      <c r="G60" s="51" t="s">
        <v>943</v>
      </c>
      <c r="H60" s="88"/>
      <c r="J60" s="9"/>
    </row>
    <row r="61" customFormat="false" ht="15.75" hidden="false" customHeight="false" outlineLevel="0" collapsed="false">
      <c r="A61" s="43" t="s">
        <v>1030</v>
      </c>
      <c r="B61" s="43" t="s">
        <v>873</v>
      </c>
      <c r="C61" s="96" t="n">
        <v>16.73143676</v>
      </c>
      <c r="D61" s="96" t="n">
        <v>16.70556</v>
      </c>
      <c r="E61" s="87" t="n">
        <f aca="false">D61-C61</f>
        <v>-0.0258767600000027</v>
      </c>
      <c r="G61" s="51" t="s">
        <v>943</v>
      </c>
      <c r="H61" s="88"/>
      <c r="J61" s="9"/>
    </row>
    <row r="62" customFormat="false" ht="15.75" hidden="false" customHeight="false" outlineLevel="0" collapsed="false">
      <c r="A62" s="43" t="s">
        <v>1030</v>
      </c>
      <c r="B62" s="43" t="s">
        <v>883</v>
      </c>
      <c r="C62" s="96" t="n">
        <v>0.24818276</v>
      </c>
      <c r="D62" s="97" t="s">
        <v>878</v>
      </c>
      <c r="E62" s="87" t="e">
        <f aca="false">D62-C62</f>
        <v>#VALUE!</v>
      </c>
      <c r="G62" s="51" t="s">
        <v>943</v>
      </c>
      <c r="H62" s="88"/>
      <c r="J62" s="9"/>
    </row>
    <row r="63" customFormat="false" ht="15.75" hidden="false" customHeight="false" outlineLevel="0" collapsed="false">
      <c r="A63" s="43" t="s">
        <v>1031</v>
      </c>
      <c r="B63" s="43" t="s">
        <v>873</v>
      </c>
      <c r="C63" s="96" t="n">
        <v>18.13035578</v>
      </c>
      <c r="D63" s="96" t="n">
        <v>18.10232</v>
      </c>
      <c r="E63" s="87" t="n">
        <f aca="false">D63-C63</f>
        <v>-0.0280357799999997</v>
      </c>
      <c r="G63" s="51" t="s">
        <v>943</v>
      </c>
      <c r="H63" s="88"/>
      <c r="J63" s="9"/>
    </row>
    <row r="64" customFormat="false" ht="15.75" hidden="false" customHeight="false" outlineLevel="0" collapsed="false">
      <c r="A64" s="43" t="s">
        <v>1031</v>
      </c>
      <c r="B64" s="43" t="s">
        <v>883</v>
      </c>
      <c r="C64" s="96" t="n">
        <v>0.26893337</v>
      </c>
      <c r="D64" s="97" t="s">
        <v>878</v>
      </c>
      <c r="E64" s="87" t="e">
        <f aca="false">D64-C64</f>
        <v>#VALUE!</v>
      </c>
      <c r="G64" s="51" t="s">
        <v>943</v>
      </c>
      <c r="H64" s="88"/>
      <c r="J64" s="9"/>
    </row>
    <row r="65" customFormat="false" ht="15.75" hidden="false" customHeight="false" outlineLevel="0" collapsed="false">
      <c r="A65" s="43" t="s">
        <v>1032</v>
      </c>
      <c r="B65" s="43" t="s">
        <v>883</v>
      </c>
      <c r="C65" s="96" t="n">
        <v>0.25102042</v>
      </c>
      <c r="D65" s="97" t="s">
        <v>878</v>
      </c>
      <c r="E65" s="87" t="e">
        <f aca="false">D65-C65</f>
        <v>#VALUE!</v>
      </c>
      <c r="G65" s="51" t="s">
        <v>943</v>
      </c>
      <c r="H65" s="88"/>
      <c r="J65" s="9"/>
    </row>
    <row r="66" customFormat="false" ht="15.75" hidden="false" customHeight="false" outlineLevel="0" collapsed="false">
      <c r="A66" s="43" t="s">
        <v>1033</v>
      </c>
      <c r="B66" s="43" t="s">
        <v>883</v>
      </c>
      <c r="C66" s="96" t="n">
        <v>0.27241513</v>
      </c>
      <c r="D66" s="97" t="s">
        <v>878</v>
      </c>
      <c r="E66" s="87" t="e">
        <f aca="false">D66-C66</f>
        <v>#VALUE!</v>
      </c>
      <c r="G66" s="51" t="s">
        <v>943</v>
      </c>
      <c r="H66" s="88"/>
      <c r="J66" s="9"/>
    </row>
    <row r="67" customFormat="false" ht="15.75" hidden="false" customHeight="false" outlineLevel="0" collapsed="false">
      <c r="A67" s="43" t="s">
        <v>1034</v>
      </c>
      <c r="B67" s="43" t="s">
        <v>908</v>
      </c>
      <c r="C67" s="96" t="n">
        <v>19.62506145</v>
      </c>
      <c r="D67" s="97" t="s">
        <v>878</v>
      </c>
      <c r="E67" s="87" t="e">
        <f aca="false">D67-C67</f>
        <v>#VALUE!</v>
      </c>
      <c r="G67" s="51" t="s">
        <v>943</v>
      </c>
      <c r="H67" s="88"/>
      <c r="J67" s="9"/>
    </row>
    <row r="68" customFormat="false" ht="15.75" hidden="false" customHeight="false" outlineLevel="0" collapsed="false">
      <c r="A68" s="43" t="s">
        <v>1034</v>
      </c>
      <c r="B68" s="43" t="s">
        <v>883</v>
      </c>
      <c r="C68" s="96" t="n">
        <v>0.28537804</v>
      </c>
      <c r="D68" s="97" t="s">
        <v>878</v>
      </c>
      <c r="E68" s="87" t="e">
        <f aca="false">D68-C68</f>
        <v>#VALUE!</v>
      </c>
      <c r="G68" s="51" t="s">
        <v>943</v>
      </c>
      <c r="H68" s="88"/>
      <c r="J68" s="9"/>
    </row>
    <row r="69" customFormat="false" ht="15.75" hidden="false" customHeight="false" outlineLevel="0" collapsed="false">
      <c r="A69" s="43" t="s">
        <v>1035</v>
      </c>
      <c r="B69" s="43" t="s">
        <v>908</v>
      </c>
      <c r="C69" s="96" t="n">
        <v>19.92992318</v>
      </c>
      <c r="D69" s="97" t="s">
        <v>878</v>
      </c>
      <c r="E69" s="87" t="e">
        <f aca="false">D69-C69</f>
        <v>#VALUE!</v>
      </c>
      <c r="G69" s="51" t="s">
        <v>943</v>
      </c>
      <c r="H69" s="88"/>
      <c r="J69" s="9"/>
    </row>
    <row r="70" customFormat="false" ht="15.75" hidden="false" customHeight="false" outlineLevel="0" collapsed="false">
      <c r="A70" s="43" t="s">
        <v>1035</v>
      </c>
      <c r="B70" s="43" t="s">
        <v>883</v>
      </c>
      <c r="C70" s="96" t="n">
        <v>0.28981119</v>
      </c>
      <c r="D70" s="97" t="s">
        <v>878</v>
      </c>
      <c r="E70" s="87" t="e">
        <f aca="false">D70-C70</f>
        <v>#VALUE!</v>
      </c>
      <c r="G70" s="51" t="s">
        <v>943</v>
      </c>
      <c r="H70" s="88"/>
      <c r="J70" s="9"/>
    </row>
    <row r="71" customFormat="false" ht="15.75" hidden="false" customHeight="false" outlineLevel="0" collapsed="false">
      <c r="A71" s="43" t="s">
        <v>941</v>
      </c>
      <c r="B71" s="43" t="s">
        <v>908</v>
      </c>
      <c r="C71" s="96" t="n">
        <v>10.23041696</v>
      </c>
      <c r="D71" s="97" t="s">
        <v>878</v>
      </c>
      <c r="E71" s="87" t="e">
        <f aca="false">D71-C71</f>
        <v>#VALUE!</v>
      </c>
      <c r="G71" s="51" t="s">
        <v>943</v>
      </c>
      <c r="H71" s="88"/>
      <c r="J71" s="9"/>
    </row>
    <row r="72" customFormat="false" ht="15.75" hidden="false" customHeight="false" outlineLevel="0" collapsed="false">
      <c r="A72" s="43" t="s">
        <v>1036</v>
      </c>
      <c r="B72" s="43" t="s">
        <v>908</v>
      </c>
      <c r="C72" s="96" t="n">
        <v>10.52744941</v>
      </c>
      <c r="D72" s="97" t="s">
        <v>878</v>
      </c>
      <c r="E72" s="87" t="e">
        <f aca="false">D72-C72</f>
        <v>#VALUE!</v>
      </c>
      <c r="G72" s="51" t="s">
        <v>943</v>
      </c>
      <c r="H72" s="88"/>
      <c r="J72" s="9"/>
    </row>
    <row r="73" customFormat="false" ht="15.75" hidden="false" customHeight="false" outlineLevel="0" collapsed="false">
      <c r="A73" s="43" t="s">
        <v>944</v>
      </c>
      <c r="B73" s="43" t="s">
        <v>908</v>
      </c>
      <c r="C73" s="96" t="n">
        <v>11.03001371</v>
      </c>
      <c r="D73" s="97" t="s">
        <v>878</v>
      </c>
      <c r="E73" s="87" t="e">
        <f aca="false">D73-C73</f>
        <v>#VALUE!</v>
      </c>
      <c r="G73" s="51" t="s">
        <v>943</v>
      </c>
      <c r="H73" s="88"/>
      <c r="J73" s="9"/>
    </row>
    <row r="74" customFormat="false" ht="15.75" hidden="false" customHeight="false" outlineLevel="0" collapsed="false">
      <c r="A74" s="43" t="s">
        <v>946</v>
      </c>
      <c r="B74" s="43" t="s">
        <v>908</v>
      </c>
      <c r="C74" s="96" t="n">
        <v>11.1916187</v>
      </c>
      <c r="D74" s="97" t="s">
        <v>878</v>
      </c>
      <c r="E74" s="87" t="e">
        <f aca="false">D74-C74</f>
        <v>#VALUE!</v>
      </c>
      <c r="G74" s="51" t="s">
        <v>943</v>
      </c>
      <c r="H74" s="88"/>
      <c r="J74" s="9"/>
    </row>
    <row r="75" customFormat="false" ht="15.75" hidden="false" customHeight="false" outlineLevel="0" collapsed="false">
      <c r="A75" s="43" t="s">
        <v>949</v>
      </c>
      <c r="B75" s="43" t="s">
        <v>908</v>
      </c>
      <c r="C75" s="96" t="n">
        <v>12.22747569</v>
      </c>
      <c r="D75" s="97" t="s">
        <v>878</v>
      </c>
      <c r="E75" s="87" t="e">
        <f aca="false">D75-C75</f>
        <v>#VALUE!</v>
      </c>
      <c r="G75" s="51" t="s">
        <v>943</v>
      </c>
      <c r="H75" s="88"/>
      <c r="J75" s="9"/>
    </row>
    <row r="76" customFormat="false" ht="15.75" hidden="false" customHeight="false" outlineLevel="0" collapsed="false">
      <c r="A76" s="43" t="s">
        <v>951</v>
      </c>
      <c r="B76" s="43" t="s">
        <v>908</v>
      </c>
      <c r="C76" s="96" t="n">
        <v>15.63140139</v>
      </c>
      <c r="D76" s="97" t="s">
        <v>878</v>
      </c>
      <c r="E76" s="87" t="e">
        <f aca="false">D76-C76</f>
        <v>#VALUE!</v>
      </c>
      <c r="G76" s="51" t="s">
        <v>943</v>
      </c>
      <c r="H76" s="88"/>
      <c r="J76" s="9"/>
    </row>
    <row r="77" customFormat="false" ht="15.75" hidden="false" customHeight="false" outlineLevel="0" collapsed="false">
      <c r="A77" s="43" t="s">
        <v>953</v>
      </c>
      <c r="B77" s="43" t="s">
        <v>908</v>
      </c>
      <c r="C77" s="96" t="n">
        <v>15.50730907</v>
      </c>
      <c r="D77" s="96" t="n">
        <v>17.723</v>
      </c>
      <c r="E77" s="87" t="n">
        <f aca="false">D77-C77</f>
        <v>2.21569093</v>
      </c>
      <c r="G77" s="51" t="s">
        <v>943</v>
      </c>
      <c r="H77" s="88"/>
      <c r="J77" s="9"/>
    </row>
    <row r="78" customFormat="false" ht="15.75" hidden="false" customHeight="false" outlineLevel="0" collapsed="false">
      <c r="A78" s="43" t="s">
        <v>349</v>
      </c>
      <c r="B78" s="43" t="s">
        <v>873</v>
      </c>
      <c r="C78" s="96" t="n">
        <v>5.61482775</v>
      </c>
      <c r="D78" s="96" t="n">
        <v>5.627174</v>
      </c>
      <c r="E78" s="87" t="n">
        <f aca="false">D78-C78</f>
        <v>0.0123462500000002</v>
      </c>
      <c r="G78" s="51" t="s">
        <v>943</v>
      </c>
      <c r="H78" s="88"/>
      <c r="J78" s="9"/>
    </row>
    <row r="79" customFormat="false" ht="15.75" hidden="false" customHeight="false" outlineLevel="0" collapsed="false">
      <c r="A79" s="43" t="s">
        <v>349</v>
      </c>
      <c r="B79" s="43" t="s">
        <v>876</v>
      </c>
      <c r="C79" s="96" t="n">
        <v>9.57616213</v>
      </c>
      <c r="D79" s="96" t="n">
        <v>9.597218</v>
      </c>
      <c r="E79" s="87" t="n">
        <f aca="false">D79-C79</f>
        <v>0.0210558699999996</v>
      </c>
      <c r="G79" s="51" t="s">
        <v>943</v>
      </c>
      <c r="H79" s="88"/>
      <c r="J79" s="9"/>
    </row>
    <row r="80" customFormat="false" ht="15.75" hidden="false" customHeight="false" outlineLevel="0" collapsed="false">
      <c r="A80" s="98" t="s">
        <v>956</v>
      </c>
      <c r="B80" s="98" t="s">
        <v>873</v>
      </c>
      <c r="C80" s="96" t="n">
        <v>3.6739106</v>
      </c>
      <c r="D80" s="101" t="n">
        <v>3.7128</v>
      </c>
      <c r="E80" s="87" t="n">
        <f aca="false">D80-C80</f>
        <v>0.0388894</v>
      </c>
      <c r="G80" s="51" t="s">
        <v>943</v>
      </c>
      <c r="H80" s="88"/>
      <c r="J80" s="9"/>
    </row>
    <row r="81" customFormat="false" ht="15.75" hidden="false" customHeight="false" outlineLevel="0" collapsed="false">
      <c r="A81" s="98" t="s">
        <v>956</v>
      </c>
      <c r="B81" s="98" t="s">
        <v>883</v>
      </c>
      <c r="C81" s="96" t="n">
        <v>4.93885035</v>
      </c>
      <c r="D81" s="101"/>
      <c r="E81" s="87" t="n">
        <f aca="false">D81-C81</f>
        <v>-4.93885035</v>
      </c>
      <c r="G81" s="51" t="s">
        <v>943</v>
      </c>
      <c r="H81" s="88"/>
      <c r="J81" s="9"/>
    </row>
    <row r="82" customFormat="false" ht="15.75" hidden="false" customHeight="false" outlineLevel="0" collapsed="false">
      <c r="A82" s="43" t="s">
        <v>1037</v>
      </c>
      <c r="B82" s="43" t="s">
        <v>873</v>
      </c>
      <c r="C82" s="96" t="n">
        <v>8.82064092</v>
      </c>
      <c r="D82" s="99" t="n">
        <v>8.83224</v>
      </c>
      <c r="E82" s="100" t="n">
        <f aca="false">D82-C82</f>
        <v>0.0115990799999999</v>
      </c>
      <c r="G82" s="51" t="s">
        <v>943</v>
      </c>
      <c r="H82" s="88"/>
      <c r="J82" s="9"/>
    </row>
    <row r="83" customFormat="false" ht="15.75" hidden="false" customHeight="false" outlineLevel="0" collapsed="false">
      <c r="A83" s="43" t="s">
        <v>399</v>
      </c>
      <c r="B83" s="43" t="s">
        <v>929</v>
      </c>
      <c r="C83" s="96" t="n">
        <v>0.02057635</v>
      </c>
      <c r="D83" s="102" t="n">
        <v>-2.1E-017</v>
      </c>
      <c r="E83" s="102" t="n">
        <f aca="false">D83-C83</f>
        <v>-0.02057635</v>
      </c>
      <c r="G83" s="51" t="s">
        <v>943</v>
      </c>
      <c r="H83" s="88"/>
      <c r="J83" s="9"/>
    </row>
    <row r="84" customFormat="false" ht="15.75" hidden="false" customHeight="false" outlineLevel="0" collapsed="false">
      <c r="A84" s="43" t="s">
        <v>1038</v>
      </c>
      <c r="B84" s="43" t="s">
        <v>929</v>
      </c>
      <c r="C84" s="96" t="n">
        <v>0.01940395</v>
      </c>
      <c r="D84" s="102" t="n">
        <v>-5.9E-017</v>
      </c>
      <c r="E84" s="102" t="n">
        <f aca="false">D84-C84</f>
        <v>-0.0194039500000001</v>
      </c>
      <c r="G84" s="51" t="s">
        <v>943</v>
      </c>
      <c r="H84" s="88"/>
      <c r="J84" s="9"/>
    </row>
    <row r="85" customFormat="false" ht="15.75" hidden="false" customHeight="false" outlineLevel="0" collapsed="false">
      <c r="A85" s="43" t="s">
        <v>397</v>
      </c>
      <c r="B85" s="43" t="s">
        <v>929</v>
      </c>
      <c r="C85" s="96" t="n">
        <v>0.0196206</v>
      </c>
      <c r="D85" s="102" t="n">
        <v>6.25E-017</v>
      </c>
      <c r="E85" s="102" t="n">
        <f aca="false">D85-C85</f>
        <v>-0.0196205999999999</v>
      </c>
      <c r="G85" s="51" t="s">
        <v>943</v>
      </c>
      <c r="H85" s="88"/>
      <c r="J85" s="9"/>
    </row>
    <row r="86" customFormat="false" ht="15.75" hidden="false" customHeight="false" outlineLevel="0" collapsed="false">
      <c r="A86" s="43" t="s">
        <v>402</v>
      </c>
      <c r="B86" s="43" t="s">
        <v>929</v>
      </c>
      <c r="C86" s="96" t="n">
        <v>0.01934729</v>
      </c>
      <c r="D86" s="102" t="n">
        <v>-1.7E-017</v>
      </c>
      <c r="E86" s="102" t="n">
        <f aca="false">D86-C86</f>
        <v>-0.01934729</v>
      </c>
      <c r="G86" s="51" t="s">
        <v>943</v>
      </c>
      <c r="H86" s="88"/>
      <c r="J86" s="9"/>
    </row>
    <row r="87" customFormat="false" ht="15.75" hidden="false" customHeight="false" outlineLevel="0" collapsed="false">
      <c r="A87" s="43" t="s">
        <v>1039</v>
      </c>
      <c r="B87" s="43" t="s">
        <v>873</v>
      </c>
      <c r="C87" s="96" t="n">
        <v>11.03992989</v>
      </c>
      <c r="D87" s="96" t="n">
        <v>11.17148</v>
      </c>
      <c r="E87" s="87" t="n">
        <f aca="false">D87-C87</f>
        <v>0.131550110000001</v>
      </c>
      <c r="G87" s="51" t="s">
        <v>943</v>
      </c>
      <c r="H87" s="88"/>
      <c r="J87" s="9"/>
    </row>
    <row r="88" customFormat="false" ht="15.75" hidden="false" customHeight="false" outlineLevel="0" collapsed="false">
      <c r="A88" s="43" t="s">
        <v>365</v>
      </c>
      <c r="B88" s="43" t="s">
        <v>873</v>
      </c>
      <c r="C88" s="96" t="n">
        <v>6.54769944</v>
      </c>
      <c r="D88" s="96" t="n">
        <v>6.541786</v>
      </c>
      <c r="E88" s="87" t="n">
        <f aca="false">D88-C88</f>
        <v>-0.0059134399999996</v>
      </c>
      <c r="G88" s="51" t="s">
        <v>943</v>
      </c>
      <c r="H88" s="88"/>
      <c r="J88" s="9"/>
    </row>
    <row r="89" customFormat="false" ht="15.75" hidden="false" customHeight="false" outlineLevel="0" collapsed="false">
      <c r="A89" s="43" t="s">
        <v>415</v>
      </c>
      <c r="B89" s="43" t="s">
        <v>873</v>
      </c>
      <c r="C89" s="96" t="n">
        <v>9.62118339</v>
      </c>
      <c r="D89" s="96" t="n">
        <v>9.612447</v>
      </c>
      <c r="E89" s="87" t="n">
        <f aca="false">D89-C89</f>
        <v>-0.00873639000000104</v>
      </c>
      <c r="G89" s="51" t="s">
        <v>943</v>
      </c>
      <c r="H89" s="88"/>
      <c r="J89" s="9"/>
    </row>
    <row r="90" customFormat="false" ht="15.75" hidden="false" customHeight="false" outlineLevel="0" collapsed="false">
      <c r="A90" s="43" t="s">
        <v>415</v>
      </c>
      <c r="B90" s="43" t="s">
        <v>883</v>
      </c>
      <c r="C90" s="96" t="n">
        <v>10.22775381</v>
      </c>
      <c r="D90" s="96" t="n">
        <v>10.21847</v>
      </c>
      <c r="E90" s="87" t="n">
        <f aca="false">D90-C90</f>
        <v>-0.00928380999999945</v>
      </c>
      <c r="G90" s="51" t="s">
        <v>943</v>
      </c>
      <c r="H90" s="88"/>
      <c r="J90" s="9"/>
    </row>
    <row r="91" customFormat="false" ht="15.75" hidden="false" customHeight="false" outlineLevel="0" collapsed="false">
      <c r="A91" s="43" t="s">
        <v>965</v>
      </c>
      <c r="B91" s="43" t="s">
        <v>908</v>
      </c>
      <c r="C91" s="96" t="n">
        <v>10.16320685</v>
      </c>
      <c r="D91" s="96" t="n">
        <v>10.17033</v>
      </c>
      <c r="E91" s="87" t="n">
        <f aca="false">D91-C91</f>
        <v>0.00712314999999997</v>
      </c>
      <c r="G91" s="51" t="s">
        <v>943</v>
      </c>
      <c r="H91" s="88"/>
      <c r="J91" s="9"/>
    </row>
    <row r="92" customFormat="false" ht="15.75" hidden="false" customHeight="false" outlineLevel="0" collapsed="false">
      <c r="A92" s="43" t="s">
        <v>967</v>
      </c>
      <c r="B92" s="43" t="s">
        <v>908</v>
      </c>
      <c r="C92" s="96" t="n">
        <v>10.10596107</v>
      </c>
      <c r="D92" s="97" t="s">
        <v>878</v>
      </c>
      <c r="E92" s="87" t="e">
        <f aca="false">D92-C92</f>
        <v>#VALUE!</v>
      </c>
      <c r="G92" s="51" t="s">
        <v>943</v>
      </c>
      <c r="H92" s="88"/>
      <c r="J92" s="9"/>
    </row>
    <row r="93" customFormat="false" ht="15.75" hidden="false" customHeight="false" outlineLevel="0" collapsed="false">
      <c r="A93" s="43" t="s">
        <v>970</v>
      </c>
      <c r="B93" s="43" t="s">
        <v>873</v>
      </c>
      <c r="C93" s="96" t="n">
        <v>8.81406306</v>
      </c>
      <c r="D93" s="96" t="n">
        <v>6.683742</v>
      </c>
      <c r="E93" s="87" t="n">
        <f aca="false">D93-C93</f>
        <v>-2.13032106</v>
      </c>
      <c r="G93" s="51" t="s">
        <v>943</v>
      </c>
      <c r="H93" s="88"/>
      <c r="J93" s="9"/>
    </row>
    <row r="94" customFormat="false" ht="15.75" hidden="false" customHeight="false" outlineLevel="0" collapsed="false">
      <c r="A94" s="43" t="s">
        <v>971</v>
      </c>
      <c r="B94" s="43" t="s">
        <v>873</v>
      </c>
      <c r="C94" s="96" t="n">
        <v>8.42456621</v>
      </c>
      <c r="D94" s="96" t="n">
        <v>7.800524</v>
      </c>
      <c r="E94" s="87" t="n">
        <f aca="false">D94-C94</f>
        <v>-0.62404221</v>
      </c>
      <c r="G94" s="51" t="s">
        <v>943</v>
      </c>
      <c r="H94" s="88"/>
      <c r="J94" s="9"/>
    </row>
    <row r="95" customFormat="false" ht="15.75" hidden="false" customHeight="false" outlineLevel="0" collapsed="false">
      <c r="A95" s="43" t="s">
        <v>972</v>
      </c>
      <c r="B95" s="43" t="s">
        <v>873</v>
      </c>
      <c r="C95" s="96" t="n">
        <v>8.36150835</v>
      </c>
      <c r="D95" s="96" t="n">
        <v>7.784814</v>
      </c>
      <c r="E95" s="87" t="n">
        <f aca="false">D95-C95</f>
        <v>-0.57669435</v>
      </c>
      <c r="G95" s="51" t="s">
        <v>943</v>
      </c>
      <c r="H95" s="88"/>
      <c r="J95" s="9"/>
    </row>
    <row r="96" customFormat="false" ht="15.75" hidden="false" customHeight="false" outlineLevel="0" collapsed="false">
      <c r="A96" s="43" t="s">
        <v>975</v>
      </c>
      <c r="B96" s="43" t="s">
        <v>929</v>
      </c>
      <c r="C96" s="96" t="n">
        <v>0.00952283</v>
      </c>
      <c r="D96" s="102" t="n">
        <v>0</v>
      </c>
      <c r="E96" s="103" t="n">
        <f aca="false">D96-C96</f>
        <v>-0.00952283</v>
      </c>
      <c r="G96" s="51" t="s">
        <v>943</v>
      </c>
      <c r="H96" s="88"/>
      <c r="J96" s="9"/>
    </row>
    <row r="97" customFormat="false" ht="15.75" hidden="false" customHeight="false" outlineLevel="0" collapsed="false">
      <c r="A97" s="43" t="s">
        <v>975</v>
      </c>
      <c r="B97" s="43" t="s">
        <v>883</v>
      </c>
      <c r="C97" s="96" t="n">
        <v>0.19420031</v>
      </c>
      <c r="D97" s="97" t="s">
        <v>878</v>
      </c>
      <c r="E97" s="87" t="e">
        <f aca="false">D97-C97</f>
        <v>#VALUE!</v>
      </c>
      <c r="G97" s="51" t="s">
        <v>943</v>
      </c>
      <c r="H97" s="88"/>
      <c r="J97" s="9"/>
    </row>
    <row r="98" customFormat="false" ht="15.75" hidden="false" customHeight="false" outlineLevel="0" collapsed="false">
      <c r="A98" s="43" t="s">
        <v>466</v>
      </c>
      <c r="B98" s="43" t="s">
        <v>908</v>
      </c>
      <c r="C98" s="96" t="n">
        <v>0.00251086</v>
      </c>
      <c r="D98" s="97" t="s">
        <v>878</v>
      </c>
      <c r="E98" s="87" t="e">
        <f aca="false">D98-C98</f>
        <v>#VALUE!</v>
      </c>
      <c r="G98" s="51" t="s">
        <v>943</v>
      </c>
      <c r="H98" s="88"/>
      <c r="J98" s="9"/>
    </row>
    <row r="99" customFormat="false" ht="15.75" hidden="false" customHeight="false" outlineLevel="0" collapsed="false">
      <c r="A99" s="43" t="s">
        <v>466</v>
      </c>
      <c r="B99" s="43" t="s">
        <v>929</v>
      </c>
      <c r="C99" s="96" t="n">
        <v>0.00678103</v>
      </c>
      <c r="D99" s="96" t="n">
        <v>0.009389</v>
      </c>
      <c r="E99" s="87" t="n">
        <f aca="false">D99-C99</f>
        <v>0.00260797</v>
      </c>
      <c r="G99" s="51" t="s">
        <v>943</v>
      </c>
      <c r="H99" s="88"/>
      <c r="J99" s="9"/>
    </row>
    <row r="100" customFormat="false" ht="15.75" hidden="false" customHeight="false" outlineLevel="0" collapsed="false">
      <c r="A100" s="43" t="s">
        <v>977</v>
      </c>
      <c r="B100" s="43" t="s">
        <v>929</v>
      </c>
      <c r="C100" s="96" t="n">
        <v>0.01094791</v>
      </c>
      <c r="D100" s="96" t="n">
        <v>0.010894</v>
      </c>
      <c r="E100" s="87" t="n">
        <f aca="false">D100-C100</f>
        <v>-5.39100000000008E-005</v>
      </c>
      <c r="G100" s="51" t="s">
        <v>943</v>
      </c>
      <c r="H100" s="88"/>
      <c r="J100" s="9"/>
    </row>
    <row r="101" customFormat="false" ht="15.75" hidden="false" customHeight="false" outlineLevel="0" collapsed="false">
      <c r="A101" s="43" t="s">
        <v>1040</v>
      </c>
      <c r="B101" s="43" t="s">
        <v>876</v>
      </c>
      <c r="C101" s="96" t="n">
        <v>1E-008</v>
      </c>
      <c r="D101" s="97" t="s">
        <v>878</v>
      </c>
      <c r="E101" s="87" t="e">
        <f aca="false">D101-C101</f>
        <v>#VALUE!</v>
      </c>
      <c r="G101" s="51" t="s">
        <v>943</v>
      </c>
      <c r="H101" s="88"/>
      <c r="J101" s="9"/>
    </row>
    <row r="102" customFormat="false" ht="15.75" hidden="false" customHeight="false" outlineLevel="0" collapsed="false">
      <c r="A102" s="43" t="s">
        <v>363</v>
      </c>
      <c r="B102" s="43" t="s">
        <v>873</v>
      </c>
      <c r="C102" s="96" t="n">
        <v>3.36404249</v>
      </c>
      <c r="D102" s="96" t="n">
        <v>3.373782</v>
      </c>
      <c r="E102" s="87" t="n">
        <f aca="false">D102-C102</f>
        <v>0.00973950999999973</v>
      </c>
      <c r="G102" s="51" t="s">
        <v>943</v>
      </c>
      <c r="H102" s="88"/>
      <c r="J102" s="9"/>
    </row>
    <row r="103" customFormat="false" ht="15.75" hidden="false" customHeight="false" outlineLevel="0" collapsed="false">
      <c r="A103" s="43" t="s">
        <v>363</v>
      </c>
      <c r="B103" s="43" t="s">
        <v>883</v>
      </c>
      <c r="C103" s="96" t="n">
        <v>3.4393944</v>
      </c>
      <c r="D103" s="97" t="s">
        <v>878</v>
      </c>
      <c r="E103" s="87" t="e">
        <f aca="false">D103-C103</f>
        <v>#VALUE!</v>
      </c>
      <c r="G103" s="51" t="s">
        <v>943</v>
      </c>
      <c r="H103" s="88"/>
      <c r="J103" s="9"/>
    </row>
    <row r="104" customFormat="false" ht="15.75" hidden="false" customHeight="false" outlineLevel="0" collapsed="false">
      <c r="A104" s="43" t="s">
        <v>363</v>
      </c>
      <c r="B104" s="43" t="s">
        <v>876</v>
      </c>
      <c r="C104" s="96" t="n">
        <v>10.55722185</v>
      </c>
      <c r="D104" s="96" t="n">
        <v>10.58779</v>
      </c>
      <c r="E104" s="87" t="n">
        <f aca="false">D104-C104</f>
        <v>0.0305681500000006</v>
      </c>
      <c r="G104" s="51" t="s">
        <v>943</v>
      </c>
      <c r="H104" s="88"/>
      <c r="J104" s="9"/>
    </row>
    <row r="105" customFormat="false" ht="15.75" hidden="false" customHeight="false" outlineLevel="0" collapsed="false">
      <c r="A105" s="43" t="s">
        <v>370</v>
      </c>
      <c r="B105" s="43" t="s">
        <v>873</v>
      </c>
      <c r="C105" s="96" t="n">
        <v>3.08333074</v>
      </c>
      <c r="D105" s="96" t="n">
        <v>3.091177</v>
      </c>
      <c r="E105" s="87" t="n">
        <f aca="false">D105-C105</f>
        <v>0.00784625999999999</v>
      </c>
      <c r="G105" s="51" t="s">
        <v>943</v>
      </c>
      <c r="H105" s="88"/>
      <c r="J105" s="9"/>
    </row>
    <row r="106" customFormat="false" ht="15.75" hidden="false" customHeight="false" outlineLevel="0" collapsed="false">
      <c r="A106" s="43" t="s">
        <v>370</v>
      </c>
      <c r="B106" s="43" t="s">
        <v>883</v>
      </c>
      <c r="C106" s="96" t="n">
        <v>2.84076283</v>
      </c>
      <c r="D106" s="96" t="n">
        <v>2.847992</v>
      </c>
      <c r="E106" s="87" t="n">
        <f aca="false">D106-C106</f>
        <v>0.00722917000000001</v>
      </c>
      <c r="G106" s="51" t="s">
        <v>943</v>
      </c>
      <c r="H106" s="88"/>
      <c r="J106" s="9"/>
    </row>
    <row r="107" customFormat="false" ht="15.75" hidden="false" customHeight="false" outlineLevel="0" collapsed="false">
      <c r="A107" s="43" t="s">
        <v>370</v>
      </c>
      <c r="B107" s="43" t="s">
        <v>876</v>
      </c>
      <c r="C107" s="96" t="n">
        <v>7.64240115</v>
      </c>
      <c r="D107" s="96" t="n">
        <v>7.66185</v>
      </c>
      <c r="E107" s="87" t="n">
        <f aca="false">D107-C107</f>
        <v>0.0194488499999999</v>
      </c>
      <c r="G107" s="51" t="s">
        <v>943</v>
      </c>
      <c r="H107" s="88"/>
      <c r="J107" s="9"/>
    </row>
    <row r="108" customFormat="false" ht="15.75" hidden="false" customHeight="false" outlineLevel="0" collapsed="false">
      <c r="A108" s="43" t="s">
        <v>979</v>
      </c>
      <c r="B108" s="43" t="s">
        <v>873</v>
      </c>
      <c r="C108" s="96" t="n">
        <v>13.78523899</v>
      </c>
      <c r="D108" s="96" t="n">
        <v>12.57365</v>
      </c>
      <c r="E108" s="87" t="n">
        <f aca="false">D108-C108</f>
        <v>-1.21158899</v>
      </c>
      <c r="G108" s="51" t="s">
        <v>943</v>
      </c>
      <c r="H108" s="88"/>
      <c r="J108" s="9"/>
    </row>
    <row r="109" customFormat="false" ht="15.75" hidden="false" customHeight="false" outlineLevel="0" collapsed="false">
      <c r="A109" s="43" t="s">
        <v>378</v>
      </c>
      <c r="B109" s="43" t="s">
        <v>873</v>
      </c>
      <c r="C109" s="96" t="n">
        <v>6.3239704</v>
      </c>
      <c r="D109" s="99" t="n">
        <v>6.330156</v>
      </c>
      <c r="E109" s="100" t="n">
        <f aca="false">D109-C109</f>
        <v>0.00618559999999935</v>
      </c>
      <c r="G109" s="51" t="s">
        <v>943</v>
      </c>
      <c r="H109" s="88"/>
      <c r="J109" s="9"/>
    </row>
    <row r="110" customFormat="false" ht="15.75" hidden="false" customHeight="false" outlineLevel="0" collapsed="false">
      <c r="A110" s="43" t="s">
        <v>378</v>
      </c>
      <c r="B110" s="43" t="s">
        <v>876</v>
      </c>
      <c r="C110" s="96" t="n">
        <v>8.04143316</v>
      </c>
      <c r="D110" s="96" t="n">
        <v>8.049299</v>
      </c>
      <c r="E110" s="87" t="n">
        <f aca="false">D110-C110</f>
        <v>0.00786583999999913</v>
      </c>
      <c r="G110" s="51" t="s">
        <v>943</v>
      </c>
      <c r="H110" s="88"/>
      <c r="J110" s="9"/>
    </row>
    <row r="111" customFormat="false" ht="15.75" hidden="false" customHeight="false" outlineLevel="0" collapsed="false">
      <c r="A111" s="43" t="s">
        <v>525</v>
      </c>
      <c r="B111" s="43" t="s">
        <v>883</v>
      </c>
      <c r="C111" s="96" t="n">
        <v>8.43716317</v>
      </c>
      <c r="D111" s="96" t="n">
        <v>7.850964</v>
      </c>
      <c r="E111" s="87" t="n">
        <f aca="false">D111-C111</f>
        <v>-0.58619917</v>
      </c>
      <c r="G111" s="51" t="s">
        <v>943</v>
      </c>
      <c r="H111" s="88"/>
      <c r="J111" s="9"/>
    </row>
    <row r="112" customFormat="false" ht="15.75" hidden="false" customHeight="false" outlineLevel="0" collapsed="false">
      <c r="A112" s="43" t="s">
        <v>1041</v>
      </c>
      <c r="B112" s="43" t="s">
        <v>908</v>
      </c>
      <c r="C112" s="96" t="n">
        <v>5.42217684</v>
      </c>
      <c r="D112" s="97" t="s">
        <v>878</v>
      </c>
      <c r="E112" s="87" t="e">
        <f aca="false">D112-C112</f>
        <v>#VALUE!</v>
      </c>
      <c r="G112" s="51" t="s">
        <v>943</v>
      </c>
      <c r="H112" s="88"/>
      <c r="J112" s="9"/>
    </row>
    <row r="113" customFormat="false" ht="15.75" hidden="false" customHeight="false" outlineLevel="0" collapsed="false">
      <c r="A113" s="43" t="s">
        <v>1042</v>
      </c>
      <c r="B113" s="43" t="s">
        <v>929</v>
      </c>
      <c r="C113" s="96" t="n">
        <v>906.6317733</v>
      </c>
      <c r="D113" s="96" t="n">
        <v>0.52337</v>
      </c>
      <c r="E113" s="87" t="n">
        <f aca="false">D113-C113</f>
        <v>-906.1084033</v>
      </c>
      <c r="G113" s="51" t="s">
        <v>943</v>
      </c>
      <c r="H113" s="88"/>
      <c r="J113" s="9"/>
    </row>
    <row r="114" customFormat="false" ht="15.75" hidden="false" customHeight="false" outlineLevel="0" collapsed="false">
      <c r="A114" s="43" t="s">
        <v>1043</v>
      </c>
      <c r="B114" s="43" t="s">
        <v>883</v>
      </c>
      <c r="C114" s="96" t="n">
        <v>5.47361322</v>
      </c>
      <c r="D114" s="97" t="s">
        <v>878</v>
      </c>
      <c r="E114" s="87" t="e">
        <f aca="false">D114-C114</f>
        <v>#VALUE!</v>
      </c>
      <c r="G114" s="51" t="s">
        <v>943</v>
      </c>
      <c r="H114" s="88"/>
      <c r="J114" s="9"/>
    </row>
    <row r="115" customFormat="false" ht="15.75" hidden="false" customHeight="false" outlineLevel="0" collapsed="false">
      <c r="A115" s="43" t="s">
        <v>513</v>
      </c>
      <c r="B115" s="43" t="s">
        <v>883</v>
      </c>
      <c r="C115" s="96" t="n">
        <v>3.06082592</v>
      </c>
      <c r="D115" s="96" t="n">
        <v>4.0733</v>
      </c>
      <c r="E115" s="87" t="n">
        <f aca="false">D115-C115</f>
        <v>1.01247408</v>
      </c>
      <c r="G115" s="51" t="s">
        <v>943</v>
      </c>
      <c r="H115" s="88"/>
      <c r="J115" s="9"/>
    </row>
    <row r="116" customFormat="false" ht="15.75" hidden="false" customHeight="false" outlineLevel="0" collapsed="false">
      <c r="A116" s="43" t="s">
        <v>513</v>
      </c>
      <c r="B116" s="43" t="s">
        <v>876</v>
      </c>
      <c r="C116" s="96" t="n">
        <v>4.84035156</v>
      </c>
      <c r="D116" s="96" t="n">
        <v>3.827878</v>
      </c>
      <c r="E116" s="87" t="n">
        <f aca="false">D116-C116</f>
        <v>-1.01247356</v>
      </c>
      <c r="G116" s="51" t="s">
        <v>943</v>
      </c>
      <c r="H116" s="88"/>
      <c r="J116" s="9"/>
    </row>
    <row r="117" customFormat="false" ht="15.75" hidden="false" customHeight="false" outlineLevel="0" collapsed="false">
      <c r="A117" s="43" t="s">
        <v>1044</v>
      </c>
      <c r="B117" s="43" t="s">
        <v>883</v>
      </c>
      <c r="C117" s="96" t="n">
        <v>6.04005343</v>
      </c>
      <c r="D117" s="96" t="n">
        <v>6.560752</v>
      </c>
      <c r="E117" s="87" t="n">
        <f aca="false">D117-C117</f>
        <v>0.52069857</v>
      </c>
      <c r="G117" s="51" t="s">
        <v>943</v>
      </c>
      <c r="H117" s="88"/>
      <c r="J117" s="9"/>
    </row>
    <row r="118" customFormat="false" ht="15.75" hidden="false" customHeight="false" outlineLevel="0" collapsed="false">
      <c r="A118" s="43" t="s">
        <v>1044</v>
      </c>
      <c r="B118" s="43" t="s">
        <v>876</v>
      </c>
      <c r="C118" s="96" t="n">
        <v>2.57139413</v>
      </c>
      <c r="D118" s="96" t="n">
        <v>2.050696</v>
      </c>
      <c r="E118" s="87" t="n">
        <f aca="false">D118-C118</f>
        <v>-0.52069813</v>
      </c>
      <c r="G118" s="51" t="s">
        <v>943</v>
      </c>
      <c r="H118" s="88"/>
      <c r="J118" s="9"/>
    </row>
    <row r="119" customFormat="false" ht="15.75" hidden="false" customHeight="false" outlineLevel="0" collapsed="false">
      <c r="A119" s="43" t="s">
        <v>989</v>
      </c>
      <c r="B119" s="43" t="s">
        <v>908</v>
      </c>
      <c r="C119" s="96" t="n">
        <v>23.06518892</v>
      </c>
      <c r="D119" s="96" t="n">
        <v>22.72355</v>
      </c>
      <c r="E119" s="87" t="n">
        <f aca="false">D119-C119</f>
        <v>-0.341638920000001</v>
      </c>
      <c r="G119" s="51" t="s">
        <v>943</v>
      </c>
      <c r="H119" s="88"/>
      <c r="J119" s="9"/>
    </row>
    <row r="120" customFormat="false" ht="15.75" hidden="false" customHeight="false" outlineLevel="0" collapsed="false">
      <c r="A120" s="43" t="s">
        <v>989</v>
      </c>
      <c r="B120" s="43" t="s">
        <v>883</v>
      </c>
      <c r="C120" s="96" t="n">
        <v>0.34163427</v>
      </c>
      <c r="D120" s="97" t="s">
        <v>878</v>
      </c>
      <c r="E120" s="87" t="e">
        <f aca="false">D120-C120</f>
        <v>#VALUE!</v>
      </c>
      <c r="G120" s="51" t="s">
        <v>943</v>
      </c>
      <c r="H120" s="88"/>
      <c r="J120" s="9"/>
    </row>
    <row r="121" customFormat="false" ht="15.75" hidden="false" customHeight="false" outlineLevel="0" collapsed="false">
      <c r="A121" s="43" t="s">
        <v>1045</v>
      </c>
      <c r="B121" s="43" t="s">
        <v>873</v>
      </c>
      <c r="C121" s="96" t="n">
        <v>6.42709422</v>
      </c>
      <c r="D121" s="96" t="n">
        <v>6.42002</v>
      </c>
      <c r="E121" s="87" t="n">
        <f aca="false">D121-C121</f>
        <v>-0.0070742199999998</v>
      </c>
      <c r="G121" s="51" t="s">
        <v>943</v>
      </c>
      <c r="H121" s="88"/>
      <c r="J121" s="9"/>
    </row>
    <row r="122" customFormat="false" ht="15.75" hidden="false" customHeight="false" outlineLevel="0" collapsed="false">
      <c r="A122" s="43" t="s">
        <v>1045</v>
      </c>
      <c r="B122" s="43" t="s">
        <v>883</v>
      </c>
      <c r="C122" s="96" t="n">
        <v>11.51670893</v>
      </c>
      <c r="D122" s="96" t="n">
        <v>11.50403</v>
      </c>
      <c r="E122" s="87" t="n">
        <f aca="false">D122-C122</f>
        <v>-0.0126789299999999</v>
      </c>
      <c r="G122" s="51" t="s">
        <v>943</v>
      </c>
      <c r="H122" s="88"/>
      <c r="J122" s="9"/>
    </row>
    <row r="123" customFormat="false" ht="15.75" hidden="false" customHeight="false" outlineLevel="0" collapsed="false">
      <c r="A123" s="43" t="s">
        <v>1045</v>
      </c>
      <c r="B123" s="43" t="s">
        <v>876</v>
      </c>
      <c r="C123" s="96" t="n">
        <v>7.52625101</v>
      </c>
      <c r="D123" s="96" t="n">
        <v>7.517967</v>
      </c>
      <c r="E123" s="87" t="n">
        <f aca="false">D123-C123</f>
        <v>-0.00828401000000056</v>
      </c>
      <c r="G123" s="51" t="s">
        <v>943</v>
      </c>
      <c r="H123" s="88"/>
      <c r="J123" s="9"/>
    </row>
    <row r="124" customFormat="false" ht="15.75" hidden="false" customHeight="false" outlineLevel="0" collapsed="false">
      <c r="A124" s="43" t="s">
        <v>1046</v>
      </c>
      <c r="B124" s="43" t="s">
        <v>883</v>
      </c>
      <c r="C124" s="96" t="n">
        <v>13.21828286</v>
      </c>
      <c r="D124" s="97" t="s">
        <v>878</v>
      </c>
      <c r="E124" s="87" t="e">
        <f aca="false">D124-C124</f>
        <v>#VALUE!</v>
      </c>
      <c r="G124" s="51" t="s">
        <v>943</v>
      </c>
      <c r="H124" s="88"/>
      <c r="J124" s="9"/>
    </row>
    <row r="125" customFormat="false" ht="15.75" hidden="false" customHeight="false" outlineLevel="0" collapsed="false">
      <c r="A125" s="98" t="s">
        <v>534</v>
      </c>
      <c r="B125" s="98" t="s">
        <v>873</v>
      </c>
      <c r="C125" s="96" t="n">
        <v>12.8513534</v>
      </c>
      <c r="D125" s="101" t="n">
        <v>12.9456</v>
      </c>
      <c r="E125" s="87" t="n">
        <f aca="false">D125-C125</f>
        <v>0.0942466</v>
      </c>
      <c r="G125" s="51" t="s">
        <v>943</v>
      </c>
      <c r="H125" s="88"/>
      <c r="J125" s="9"/>
    </row>
    <row r="126" customFormat="false" ht="15.75" hidden="false" customHeight="false" outlineLevel="0" collapsed="false">
      <c r="A126" s="98" t="s">
        <v>534</v>
      </c>
      <c r="B126" s="98" t="s">
        <v>883</v>
      </c>
      <c r="C126" s="96" t="n">
        <v>1.42208683</v>
      </c>
      <c r="D126" s="101"/>
      <c r="E126" s="87" t="n">
        <f aca="false">D126-C126</f>
        <v>-1.42208683</v>
      </c>
      <c r="G126" s="51" t="s">
        <v>943</v>
      </c>
      <c r="H126" s="88"/>
      <c r="J126" s="9"/>
    </row>
    <row r="127" customFormat="false" ht="15.75" hidden="false" customHeight="false" outlineLevel="0" collapsed="false">
      <c r="A127" s="43" t="s">
        <v>1047</v>
      </c>
      <c r="B127" s="43" t="s">
        <v>883</v>
      </c>
      <c r="C127" s="96" t="n">
        <v>20.57554152</v>
      </c>
      <c r="D127" s="97" t="s">
        <v>878</v>
      </c>
      <c r="E127" s="87" t="e">
        <f aca="false">D127-C127</f>
        <v>#VALUE!</v>
      </c>
      <c r="G127" s="51" t="s">
        <v>943</v>
      </c>
      <c r="H127" s="88"/>
      <c r="J127" s="9"/>
    </row>
    <row r="128" customFormat="false" ht="15.75" hidden="false" customHeight="false" outlineLevel="0" collapsed="false">
      <c r="A128" s="43" t="s">
        <v>1048</v>
      </c>
      <c r="B128" s="43" t="s">
        <v>883</v>
      </c>
      <c r="C128" s="96" t="n">
        <v>20.6327398</v>
      </c>
      <c r="D128" s="97" t="s">
        <v>878</v>
      </c>
      <c r="E128" s="87" t="e">
        <f aca="false">D128-C128</f>
        <v>#VALUE!</v>
      </c>
      <c r="G128" s="51" t="s">
        <v>943</v>
      </c>
      <c r="H128" s="88"/>
      <c r="J128" s="9"/>
    </row>
    <row r="129" customFormat="false" ht="15.75" hidden="false" customHeight="false" outlineLevel="0" collapsed="false">
      <c r="A129" s="43" t="s">
        <v>1049</v>
      </c>
      <c r="B129" s="43" t="s">
        <v>873</v>
      </c>
      <c r="C129" s="96" t="n">
        <v>15.138258</v>
      </c>
      <c r="D129" s="97" t="s">
        <v>878</v>
      </c>
      <c r="E129" s="87" t="e">
        <f aca="false">D129-C129</f>
        <v>#VALUE!</v>
      </c>
      <c r="G129" s="51" t="s">
        <v>943</v>
      </c>
      <c r="H129" s="88"/>
      <c r="J129" s="9"/>
    </row>
    <row r="130" customFormat="false" ht="15.75" hidden="false" customHeight="false" outlineLevel="0" collapsed="false">
      <c r="A130" s="43" t="s">
        <v>1050</v>
      </c>
      <c r="B130" s="43" t="s">
        <v>908</v>
      </c>
      <c r="C130" s="96" t="n">
        <v>9E-008</v>
      </c>
      <c r="D130" s="97" t="s">
        <v>878</v>
      </c>
      <c r="E130" s="87" t="e">
        <f aca="false">D130-C130</f>
        <v>#VALUE!</v>
      </c>
      <c r="G130" s="51" t="s">
        <v>943</v>
      </c>
      <c r="H130" s="88"/>
      <c r="J130" s="9"/>
    </row>
    <row r="131" customFormat="false" ht="15.75" hidden="false" customHeight="false" outlineLevel="0" collapsed="false">
      <c r="A131" s="43" t="s">
        <v>1051</v>
      </c>
      <c r="B131" s="43" t="s">
        <v>908</v>
      </c>
      <c r="C131" s="96" t="n">
        <v>1.67874134</v>
      </c>
      <c r="D131" s="97" t="s">
        <v>878</v>
      </c>
      <c r="E131" s="87" t="e">
        <f aca="false">D131-C131</f>
        <v>#VALUE!</v>
      </c>
      <c r="G131" s="51" t="s">
        <v>943</v>
      </c>
      <c r="H131" s="88"/>
      <c r="J131" s="9"/>
    </row>
    <row r="132" customFormat="false" ht="15.75" hidden="false" customHeight="false" outlineLevel="0" collapsed="false">
      <c r="A132" s="43" t="s">
        <v>600</v>
      </c>
      <c r="B132" s="43" t="s">
        <v>873</v>
      </c>
      <c r="C132" s="96" t="n">
        <v>13.13168158</v>
      </c>
      <c r="D132" s="99" t="n">
        <v>13.11693</v>
      </c>
      <c r="E132" s="100" t="n">
        <f aca="false">D132-C132</f>
        <v>-0.0147515800000004</v>
      </c>
      <c r="G132" s="51" t="s">
        <v>943</v>
      </c>
      <c r="H132" s="88"/>
      <c r="J132" s="9"/>
    </row>
    <row r="133" customFormat="false" ht="15.75" hidden="false" customHeight="false" outlineLevel="0" collapsed="false">
      <c r="A133" s="43" t="s">
        <v>1052</v>
      </c>
      <c r="B133" s="43" t="s">
        <v>883</v>
      </c>
      <c r="C133" s="96" t="n">
        <v>1.1107312</v>
      </c>
      <c r="D133" s="97" t="s">
        <v>878</v>
      </c>
      <c r="E133" s="87" t="e">
        <f aca="false">D133-C133</f>
        <v>#VALUE!</v>
      </c>
      <c r="G133" s="51" t="s">
        <v>943</v>
      </c>
      <c r="H133" s="88"/>
      <c r="J133" s="9"/>
    </row>
    <row r="134" customFormat="false" ht="15.75" hidden="false" customHeight="false" outlineLevel="0" collapsed="false">
      <c r="A134" s="43" t="s">
        <v>506</v>
      </c>
      <c r="B134" s="43" t="s">
        <v>883</v>
      </c>
      <c r="C134" s="96" t="n">
        <v>16.20236421</v>
      </c>
      <c r="D134" s="97" t="s">
        <v>878</v>
      </c>
      <c r="E134" s="87" t="e">
        <f aca="false">D134-C134</f>
        <v>#VALUE!</v>
      </c>
      <c r="G134" s="51" t="s">
        <v>943</v>
      </c>
      <c r="H134" s="88"/>
      <c r="J134" s="9"/>
    </row>
    <row r="135" customFormat="false" ht="15.75" hidden="false" customHeight="false" outlineLevel="0" collapsed="false">
      <c r="A135" s="43" t="s">
        <v>495</v>
      </c>
      <c r="B135" s="43" t="s">
        <v>908</v>
      </c>
      <c r="C135" s="96" t="n">
        <v>8.33201883</v>
      </c>
      <c r="D135" s="97" t="s">
        <v>878</v>
      </c>
      <c r="E135" s="87" t="e">
        <f aca="false">D135-C135</f>
        <v>#VALUE!</v>
      </c>
      <c r="G135" s="51" t="s">
        <v>943</v>
      </c>
      <c r="H135" s="88"/>
      <c r="J135" s="9"/>
    </row>
    <row r="136" customFormat="false" ht="15.75" hidden="false" customHeight="false" outlineLevel="0" collapsed="false">
      <c r="A136" s="43" t="s">
        <v>1053</v>
      </c>
      <c r="B136" s="43" t="s">
        <v>883</v>
      </c>
      <c r="C136" s="96" t="n">
        <v>67.52750343</v>
      </c>
      <c r="D136" s="97" t="s">
        <v>878</v>
      </c>
      <c r="E136" s="87" t="e">
        <f aca="false">D136-C136</f>
        <v>#VALUE!</v>
      </c>
      <c r="G136" s="51" t="s">
        <v>943</v>
      </c>
      <c r="H136" s="88"/>
      <c r="J136" s="9"/>
    </row>
    <row r="137" customFormat="false" ht="15.75" hidden="false" customHeight="false" outlineLevel="0" collapsed="false">
      <c r="A137" s="43" t="s">
        <v>1054</v>
      </c>
      <c r="B137" s="43" t="s">
        <v>908</v>
      </c>
      <c r="C137" s="96" t="n">
        <v>13.78427057</v>
      </c>
      <c r="D137" s="97" t="s">
        <v>878</v>
      </c>
      <c r="E137" s="87" t="e">
        <f aca="false">D137-C137</f>
        <v>#VALUE!</v>
      </c>
      <c r="G137" s="51" t="s">
        <v>943</v>
      </c>
      <c r="H137" s="88"/>
      <c r="J137" s="9"/>
    </row>
    <row r="138" customFormat="false" ht="15.75" hidden="false" customHeight="false" outlineLevel="0" collapsed="false">
      <c r="A138" s="43" t="s">
        <v>535</v>
      </c>
      <c r="B138" s="43" t="s">
        <v>908</v>
      </c>
      <c r="C138" s="96" t="n">
        <v>19.86638181</v>
      </c>
      <c r="D138" s="96" t="n">
        <v>19.89445</v>
      </c>
      <c r="E138" s="87" t="n">
        <f aca="false">D138-C138</f>
        <v>0.0280681899999991</v>
      </c>
      <c r="G138" s="51" t="s">
        <v>943</v>
      </c>
      <c r="H138" s="88"/>
      <c r="J138" s="9"/>
    </row>
    <row r="139" customFormat="false" ht="15.75" hidden="false" customHeight="false" outlineLevel="0" collapsed="false">
      <c r="A139" s="43" t="s">
        <v>1055</v>
      </c>
      <c r="B139" s="43" t="s">
        <v>908</v>
      </c>
      <c r="C139" s="96" t="n">
        <v>1E-008</v>
      </c>
      <c r="D139" s="97" t="s">
        <v>878</v>
      </c>
      <c r="E139" s="87" t="e">
        <f aca="false">D139-C139</f>
        <v>#VALUE!</v>
      </c>
      <c r="G139" s="51" t="s">
        <v>943</v>
      </c>
      <c r="H139" s="88"/>
      <c r="J139" s="9"/>
    </row>
  </sheetData>
  <autoFilter ref="A1:G1000"/>
  <dataValidations count="3">
    <dataValidation allowBlank="true" errorStyle="stop" operator="between" showDropDown="false" showErrorMessage="true" showInputMessage="false" sqref="H2:H139" type="list">
      <formula1>"Juros e PU batem ,Principal e PU batem ,PU não bate ,Juros não bate,Principal não bate"</formula1>
      <formula2>0</formula2>
    </dataValidation>
    <dataValidation allowBlank="true" errorStyle="stop" operator="between" showDropDown="false" showErrorMessage="true" showInputMessage="false" sqref="J2:J139" type="list">
      <formula1>"Bate,Não bate,Escolher "</formula1>
      <formula2>0</formula2>
    </dataValidation>
    <dataValidation allowBlank="true" errorStyle="stop" operator="between" showDropDown="false" showErrorMessage="true" showInputMessage="false" sqref="G2:G139" type="list">
      <formula1>"Feito,Revisar,Pendente,Não Iniciado,Em Andamento"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75"/>
    <col collapsed="false" customWidth="true" hidden="false" outlineLevel="0" max="6" min="6" style="0" width="27.38"/>
    <col collapsed="false" customWidth="true" hidden="false" outlineLevel="0" max="7" min="7" style="0" width="15.13"/>
    <col collapsed="false" customWidth="true" hidden="false" outlineLevel="0" max="8" min="8" style="0" width="19.63"/>
    <col collapsed="false" customWidth="true" hidden="false" outlineLevel="0" max="11" min="11" style="0" width="30.51"/>
    <col collapsed="false" customWidth="true" hidden="false" outlineLevel="0" max="12" min="12" style="0" width="159.25"/>
  </cols>
  <sheetData>
    <row r="1" customFormat="false" ht="15.75" hidden="false" customHeight="false" outlineLevel="0" collapsed="false">
      <c r="A1" s="85" t="s">
        <v>859</v>
      </c>
      <c r="B1" s="85" t="s">
        <v>860</v>
      </c>
      <c r="C1" s="85" t="s">
        <v>861</v>
      </c>
      <c r="D1" s="85" t="s">
        <v>862</v>
      </c>
      <c r="E1" s="85" t="s">
        <v>863</v>
      </c>
      <c r="F1" s="85" t="s">
        <v>864</v>
      </c>
      <c r="G1" s="85" t="s">
        <v>866</v>
      </c>
      <c r="H1" s="51" t="s">
        <v>867</v>
      </c>
      <c r="I1" s="51" t="s">
        <v>868</v>
      </c>
      <c r="J1" s="51" t="s">
        <v>999</v>
      </c>
      <c r="K1" s="51" t="s">
        <v>10</v>
      </c>
      <c r="L1" s="51" t="s">
        <v>871</v>
      </c>
    </row>
    <row r="2" customFormat="false" ht="15.75" hidden="false" customHeight="false" outlineLevel="0" collapsed="false">
      <c r="A2" s="98" t="s">
        <v>1056</v>
      </c>
      <c r="B2" s="98" t="s">
        <v>873</v>
      </c>
      <c r="C2" s="96" t="n">
        <v>3.92857142</v>
      </c>
      <c r="D2" s="101" t="n">
        <v>3.928571379</v>
      </c>
      <c r="E2" s="87" t="n">
        <f aca="false">D2-C2</f>
        <v>-4.09999998396415E-008</v>
      </c>
      <c r="F2" s="51" t="s">
        <v>224</v>
      </c>
      <c r="G2" s="51" t="s">
        <v>890</v>
      </c>
      <c r="H2" s="88" t="s">
        <v>891</v>
      </c>
      <c r="I2" s="51" t="n">
        <v>3.92857142</v>
      </c>
      <c r="J2" s="51" t="s">
        <v>902</v>
      </c>
      <c r="K2" s="51" t="s">
        <v>1057</v>
      </c>
      <c r="L2" s="51" t="s">
        <v>875</v>
      </c>
    </row>
    <row r="3" customFormat="false" ht="15.75" hidden="false" customHeight="false" outlineLevel="0" collapsed="false">
      <c r="A3" s="98" t="s">
        <v>1058</v>
      </c>
      <c r="B3" s="98" t="s">
        <v>873</v>
      </c>
      <c r="C3" s="96" t="n">
        <v>4.98531688</v>
      </c>
      <c r="D3" s="101" t="n">
        <v>4.985316731</v>
      </c>
      <c r="E3" s="87" t="n">
        <f aca="false">D3-C3</f>
        <v>-1.48999999893817E-007</v>
      </c>
      <c r="F3" s="51" t="s">
        <v>224</v>
      </c>
      <c r="G3" s="51" t="s">
        <v>890</v>
      </c>
      <c r="H3" s="88" t="s">
        <v>891</v>
      </c>
      <c r="I3" s="51" t="n">
        <v>4.98531688</v>
      </c>
      <c r="J3" s="51" t="s">
        <v>902</v>
      </c>
      <c r="K3" s="51" t="s">
        <v>746</v>
      </c>
    </row>
    <row r="4" customFormat="false" ht="15.75" hidden="false" customHeight="false" outlineLevel="0" collapsed="false">
      <c r="A4" s="98" t="s">
        <v>604</v>
      </c>
      <c r="B4" s="98" t="s">
        <v>873</v>
      </c>
      <c r="C4" s="96" t="n">
        <v>10.14488763</v>
      </c>
      <c r="D4" s="101" t="n">
        <v>10.14488768</v>
      </c>
      <c r="E4" s="87" t="n">
        <f aca="false">D4-C4</f>
        <v>5.00000005843049E-008</v>
      </c>
      <c r="F4" s="51" t="s">
        <v>224</v>
      </c>
      <c r="G4" s="51" t="s">
        <v>890</v>
      </c>
      <c r="H4" s="88" t="s">
        <v>891</v>
      </c>
      <c r="I4" s="51" t="n">
        <v>10.14488768</v>
      </c>
      <c r="J4" s="51" t="s">
        <v>902</v>
      </c>
      <c r="K4" s="51" t="s">
        <v>1059</v>
      </c>
      <c r="L4" s="51" t="s">
        <v>882</v>
      </c>
    </row>
    <row r="5" customFormat="false" ht="15.75" hidden="false" customHeight="false" outlineLevel="0" collapsed="false">
      <c r="A5" s="98" t="s">
        <v>604</v>
      </c>
      <c r="B5" s="98" t="s">
        <v>876</v>
      </c>
      <c r="C5" s="96" t="n">
        <v>5.2383929</v>
      </c>
      <c r="D5" s="101" t="n">
        <v>5.238392929</v>
      </c>
      <c r="E5" s="87" t="n">
        <f aca="false">D5-C5</f>
        <v>2.89999997349355E-008</v>
      </c>
      <c r="F5" s="51" t="s">
        <v>224</v>
      </c>
      <c r="G5" s="51" t="s">
        <v>890</v>
      </c>
      <c r="H5" s="88" t="s">
        <v>992</v>
      </c>
      <c r="I5" s="51" t="n">
        <v>5.238392929</v>
      </c>
      <c r="J5" s="51" t="s">
        <v>902</v>
      </c>
      <c r="K5" s="51" t="s">
        <v>1059</v>
      </c>
    </row>
    <row r="6" customFormat="false" ht="15.75" hidden="false" customHeight="false" outlineLevel="0" collapsed="false">
      <c r="A6" s="98" t="s">
        <v>604</v>
      </c>
      <c r="B6" s="98" t="s">
        <v>883</v>
      </c>
      <c r="C6" s="96" t="n">
        <v>1.35725797</v>
      </c>
      <c r="D6" s="101" t="n">
        <v>1.35726264</v>
      </c>
      <c r="E6" s="87" t="n">
        <f aca="false">D6-C6</f>
        <v>4.67000000003992E-006</v>
      </c>
      <c r="F6" s="51" t="s">
        <v>224</v>
      </c>
      <c r="G6" s="51" t="s">
        <v>890</v>
      </c>
      <c r="H6" s="88" t="s">
        <v>992</v>
      </c>
      <c r="I6" s="51" t="n">
        <v>1.35726264</v>
      </c>
      <c r="J6" s="51" t="s">
        <v>902</v>
      </c>
      <c r="K6" s="51" t="s">
        <v>1059</v>
      </c>
    </row>
    <row r="7" customFormat="false" ht="15.75" hidden="false" customHeight="false" outlineLevel="0" collapsed="false">
      <c r="A7" s="98" t="s">
        <v>1060</v>
      </c>
      <c r="B7" s="98" t="s">
        <v>873</v>
      </c>
      <c r="C7" s="96" t="n">
        <v>6.70092088</v>
      </c>
      <c r="D7" s="43"/>
      <c r="E7" s="87" t="n">
        <f aca="false">D7-C7</f>
        <v>-6.70092088</v>
      </c>
      <c r="F7" s="51" t="s">
        <v>1061</v>
      </c>
      <c r="G7" s="51" t="s">
        <v>881</v>
      </c>
      <c r="H7" s="88"/>
      <c r="J7" s="51" t="s">
        <v>915</v>
      </c>
    </row>
    <row r="8" customFormat="false" ht="15.75" hidden="false" customHeight="false" outlineLevel="0" collapsed="false">
      <c r="A8" s="98" t="s">
        <v>1060</v>
      </c>
      <c r="B8" s="98" t="s">
        <v>876</v>
      </c>
      <c r="C8" s="96" t="n">
        <v>3.15604283</v>
      </c>
      <c r="D8" s="43"/>
      <c r="E8" s="87" t="n">
        <f aca="false">D8-C8</f>
        <v>-3.15604283</v>
      </c>
      <c r="F8" s="51" t="s">
        <v>1061</v>
      </c>
      <c r="G8" s="51" t="s">
        <v>881</v>
      </c>
      <c r="H8" s="88"/>
      <c r="J8" s="51" t="s">
        <v>915</v>
      </c>
    </row>
    <row r="9" customFormat="false" ht="15.75" hidden="false" customHeight="false" outlineLevel="0" collapsed="false">
      <c r="A9" s="98" t="s">
        <v>1062</v>
      </c>
      <c r="B9" s="98" t="s">
        <v>873</v>
      </c>
      <c r="C9" s="96" t="n">
        <v>14.7838496</v>
      </c>
      <c r="D9" s="101" t="n">
        <v>14.78384589</v>
      </c>
      <c r="E9" s="87" t="n">
        <f aca="false">D9-C9</f>
        <v>-3.70999999965704E-006</v>
      </c>
      <c r="F9" s="51" t="s">
        <v>1063</v>
      </c>
      <c r="G9" s="51" t="s">
        <v>890</v>
      </c>
      <c r="H9" s="88"/>
      <c r="I9" s="51" t="n">
        <v>14.78384589</v>
      </c>
      <c r="J9" s="51" t="s">
        <v>902</v>
      </c>
      <c r="K9" s="51" t="s">
        <v>1064</v>
      </c>
    </row>
    <row r="10" customFormat="false" ht="15.75" hidden="false" customHeight="false" outlineLevel="0" collapsed="false">
      <c r="A10" s="98" t="s">
        <v>1062</v>
      </c>
      <c r="B10" s="98" t="s">
        <v>876</v>
      </c>
      <c r="C10" s="96" t="n">
        <v>7.73342912</v>
      </c>
      <c r="D10" s="101" t="n">
        <v>7.73360414</v>
      </c>
      <c r="E10" s="87" t="n">
        <f aca="false">D10-C10</f>
        <v>0.000175019999999471</v>
      </c>
      <c r="F10" s="51" t="s">
        <v>1063</v>
      </c>
      <c r="G10" s="51" t="s">
        <v>890</v>
      </c>
      <c r="H10" s="88"/>
      <c r="I10" s="51" t="n">
        <v>7.73360414</v>
      </c>
      <c r="J10" s="51" t="s">
        <v>902</v>
      </c>
      <c r="K10" s="51" t="s">
        <v>1064</v>
      </c>
    </row>
    <row r="11" customFormat="false" ht="15.75" hidden="false" customHeight="false" outlineLevel="0" collapsed="false">
      <c r="A11" s="98" t="s">
        <v>1062</v>
      </c>
      <c r="B11" s="98" t="s">
        <v>883</v>
      </c>
      <c r="C11" s="96" t="n">
        <v>17.75997931</v>
      </c>
      <c r="D11" s="43" t="n">
        <v>0</v>
      </c>
      <c r="E11" s="87" t="n">
        <f aca="false">D11-C11</f>
        <v>-17.75997931</v>
      </c>
      <c r="F11" s="51" t="s">
        <v>1063</v>
      </c>
      <c r="G11" s="51" t="s">
        <v>890</v>
      </c>
      <c r="H11" s="88"/>
      <c r="I11" s="51" t="n">
        <v>0</v>
      </c>
      <c r="J11" s="51" t="s">
        <v>911</v>
      </c>
      <c r="K11" s="51" t="s">
        <v>1064</v>
      </c>
    </row>
    <row r="12" customFormat="false" ht="15.75" hidden="false" customHeight="false" outlineLevel="0" collapsed="false">
      <c r="A12" s="43"/>
      <c r="B12" s="43"/>
      <c r="C12" s="96"/>
    </row>
    <row r="13" customFormat="false" ht="15.75" hidden="false" customHeight="false" outlineLevel="0" collapsed="false">
      <c r="A13" s="43"/>
      <c r="B13" s="43"/>
      <c r="C13" s="96"/>
      <c r="H13" s="88"/>
    </row>
    <row r="14" customFormat="false" ht="15.75" hidden="false" customHeight="false" outlineLevel="0" collapsed="false">
      <c r="A14" s="43"/>
      <c r="B14" s="43"/>
      <c r="C14" s="96"/>
      <c r="H14" s="88"/>
    </row>
    <row r="15" customFormat="false" ht="15.75" hidden="false" customHeight="false" outlineLevel="0" collapsed="false">
      <c r="A15" s="43"/>
      <c r="B15" s="43"/>
      <c r="C15" s="96"/>
      <c r="H15" s="88"/>
    </row>
    <row r="16" customFormat="false" ht="15.75" hidden="false" customHeight="false" outlineLevel="0" collapsed="false">
      <c r="A16" s="43"/>
      <c r="B16" s="43"/>
      <c r="C16" s="96"/>
      <c r="H16" s="88"/>
    </row>
    <row r="17" customFormat="false" ht="15.75" hidden="false" customHeight="false" outlineLevel="0" collapsed="false">
      <c r="A17" s="43"/>
      <c r="B17" s="43"/>
      <c r="C17" s="96"/>
      <c r="H17" s="88"/>
    </row>
    <row r="18" customFormat="false" ht="15.75" hidden="false" customHeight="false" outlineLevel="0" collapsed="false">
      <c r="A18" s="43"/>
      <c r="B18" s="43"/>
      <c r="C18" s="96"/>
      <c r="H18" s="88"/>
    </row>
    <row r="19" customFormat="false" ht="15.75" hidden="false" customHeight="false" outlineLevel="0" collapsed="false">
      <c r="A19" s="43"/>
      <c r="B19" s="43"/>
      <c r="C19" s="96"/>
      <c r="H19" s="88"/>
    </row>
    <row r="20" customFormat="false" ht="15.75" hidden="false" customHeight="false" outlineLevel="0" collapsed="false">
      <c r="A20" s="43"/>
      <c r="B20" s="43"/>
      <c r="C20" s="96"/>
      <c r="H20" s="88"/>
    </row>
    <row r="21" customFormat="false" ht="15.75" hidden="false" customHeight="false" outlineLevel="0" collapsed="false">
      <c r="A21" s="43"/>
      <c r="B21" s="43"/>
      <c r="C21" s="96"/>
      <c r="H21" s="88"/>
    </row>
    <row r="22" customFormat="false" ht="15.75" hidden="false" customHeight="false" outlineLevel="0" collapsed="false">
      <c r="A22" s="43"/>
      <c r="B22" s="43"/>
      <c r="C22" s="96"/>
      <c r="H22" s="88"/>
    </row>
    <row r="23" customFormat="false" ht="15.75" hidden="false" customHeight="false" outlineLevel="0" collapsed="false">
      <c r="A23" s="43"/>
      <c r="B23" s="43"/>
      <c r="C23" s="96"/>
      <c r="H23" s="88"/>
    </row>
    <row r="24" customFormat="false" ht="15.75" hidden="false" customHeight="false" outlineLevel="0" collapsed="false">
      <c r="A24" s="43"/>
      <c r="B24" s="43"/>
      <c r="C24" s="96"/>
      <c r="H24" s="88"/>
    </row>
    <row r="25" customFormat="false" ht="15.75" hidden="false" customHeight="false" outlineLevel="0" collapsed="false">
      <c r="A25" s="43"/>
      <c r="B25" s="43"/>
      <c r="C25" s="96"/>
      <c r="H25" s="88"/>
    </row>
    <row r="26" customFormat="false" ht="15.75" hidden="false" customHeight="false" outlineLevel="0" collapsed="false">
      <c r="A26" s="43"/>
      <c r="B26" s="43"/>
      <c r="C26" s="96"/>
      <c r="H26" s="88"/>
    </row>
    <row r="27" customFormat="false" ht="15.75" hidden="false" customHeight="false" outlineLevel="0" collapsed="false">
      <c r="A27" s="43"/>
      <c r="B27" s="43"/>
      <c r="C27" s="96"/>
      <c r="H27" s="88"/>
    </row>
    <row r="28" customFormat="false" ht="15.75" hidden="false" customHeight="false" outlineLevel="0" collapsed="false">
      <c r="A28" s="43"/>
      <c r="B28" s="43"/>
      <c r="C28" s="96"/>
      <c r="H28" s="88"/>
    </row>
    <row r="29" customFormat="false" ht="15.75" hidden="false" customHeight="false" outlineLevel="0" collapsed="false">
      <c r="H29" s="88"/>
    </row>
    <row r="30" customFormat="false" ht="15.75" hidden="false" customHeight="false" outlineLevel="0" collapsed="false">
      <c r="H30" s="88"/>
    </row>
    <row r="31" customFormat="false" ht="15.75" hidden="false" customHeight="false" outlineLevel="0" collapsed="false">
      <c r="H31" s="88"/>
    </row>
    <row r="32" customFormat="false" ht="15.75" hidden="false" customHeight="false" outlineLevel="0" collapsed="false">
      <c r="H32" s="88"/>
    </row>
    <row r="33" customFormat="false" ht="15.75" hidden="false" customHeight="false" outlineLevel="0" collapsed="false">
      <c r="A33" s="86"/>
      <c r="B33" s="86"/>
      <c r="C33" s="87"/>
      <c r="H33" s="88"/>
    </row>
    <row r="34" customFormat="false" ht="15.75" hidden="false" customHeight="false" outlineLevel="0" collapsed="false">
      <c r="A34" s="86"/>
      <c r="B34" s="86"/>
      <c r="C34" s="87"/>
      <c r="D34" s="87"/>
      <c r="E34" s="87"/>
      <c r="H34" s="88"/>
    </row>
    <row r="35" customFormat="false" ht="15.75" hidden="false" customHeight="false" outlineLevel="0" collapsed="false">
      <c r="A35" s="86"/>
      <c r="B35" s="86"/>
      <c r="C35" s="87"/>
      <c r="D35" s="89"/>
      <c r="E35" s="87"/>
      <c r="H35" s="88"/>
    </row>
    <row r="36" customFormat="false" ht="15.75" hidden="false" customHeight="false" outlineLevel="0" collapsed="false">
      <c r="A36" s="86"/>
      <c r="B36" s="86"/>
      <c r="C36" s="87"/>
      <c r="D36" s="89"/>
      <c r="E36" s="87"/>
      <c r="H36" s="88"/>
    </row>
    <row r="37" customFormat="false" ht="15.75" hidden="false" customHeight="false" outlineLevel="0" collapsed="false">
      <c r="A37" s="86"/>
      <c r="B37" s="86"/>
      <c r="C37" s="87"/>
      <c r="D37" s="89"/>
      <c r="E37" s="87"/>
      <c r="H37" s="88"/>
    </row>
    <row r="38" customFormat="false" ht="15.75" hidden="false" customHeight="false" outlineLevel="0" collapsed="false">
      <c r="A38" s="86"/>
      <c r="B38" s="86"/>
      <c r="C38" s="87"/>
      <c r="D38" s="87"/>
      <c r="E38" s="87"/>
      <c r="H38" s="88"/>
    </row>
    <row r="39" customFormat="false" ht="15.75" hidden="false" customHeight="false" outlineLevel="0" collapsed="false">
      <c r="A39" s="86"/>
      <c r="B39" s="86"/>
      <c r="C39" s="87"/>
      <c r="D39" s="87"/>
      <c r="E39" s="87"/>
      <c r="H39" s="88"/>
    </row>
    <row r="40" customFormat="false" ht="15.75" hidden="false" customHeight="false" outlineLevel="0" collapsed="false">
      <c r="A40" s="86"/>
      <c r="B40" s="86"/>
      <c r="C40" s="87"/>
      <c r="D40" s="89"/>
      <c r="E40" s="87"/>
      <c r="H40" s="88"/>
    </row>
    <row r="41" customFormat="false" ht="15.75" hidden="false" customHeight="false" outlineLevel="0" collapsed="false">
      <c r="A41" s="86"/>
      <c r="B41" s="86"/>
      <c r="C41" s="87"/>
      <c r="D41" s="89"/>
      <c r="E41" s="87"/>
      <c r="H41" s="88"/>
    </row>
    <row r="42" customFormat="false" ht="15.75" hidden="false" customHeight="false" outlineLevel="0" collapsed="false">
      <c r="A42" s="86"/>
      <c r="B42" s="86"/>
      <c r="C42" s="87"/>
      <c r="D42" s="89"/>
      <c r="E42" s="87"/>
      <c r="H42" s="88"/>
    </row>
    <row r="43" customFormat="false" ht="15.75" hidden="false" customHeight="false" outlineLevel="0" collapsed="false">
      <c r="A43" s="86"/>
      <c r="B43" s="86"/>
      <c r="C43" s="87"/>
      <c r="D43" s="89"/>
      <c r="E43" s="87"/>
      <c r="H43" s="88"/>
    </row>
    <row r="44" customFormat="false" ht="15.75" hidden="false" customHeight="false" outlineLevel="0" collapsed="false">
      <c r="A44" s="86"/>
      <c r="B44" s="86"/>
      <c r="C44" s="87"/>
      <c r="D44" s="100"/>
      <c r="E44" s="87"/>
      <c r="H44" s="88"/>
    </row>
    <row r="45" customFormat="false" ht="15.75" hidden="false" customHeight="false" outlineLevel="0" collapsed="false">
      <c r="A45" s="86"/>
      <c r="B45" s="86"/>
      <c r="C45" s="87"/>
      <c r="D45" s="100"/>
      <c r="E45" s="87"/>
      <c r="H45" s="88"/>
    </row>
    <row r="46" customFormat="false" ht="15.75" hidden="false" customHeight="false" outlineLevel="0" collapsed="false">
      <c r="A46" s="86"/>
      <c r="B46" s="86"/>
      <c r="C46" s="87"/>
      <c r="D46" s="89"/>
      <c r="E46" s="87"/>
      <c r="H46" s="88"/>
    </row>
    <row r="47" customFormat="false" ht="15.75" hidden="false" customHeight="false" outlineLevel="0" collapsed="false">
      <c r="A47" s="86"/>
      <c r="B47" s="86"/>
      <c r="C47" s="87"/>
      <c r="D47" s="89"/>
      <c r="E47" s="87"/>
      <c r="H47" s="88"/>
    </row>
    <row r="48" customFormat="false" ht="15.75" hidden="false" customHeight="false" outlineLevel="0" collapsed="false">
      <c r="A48" s="86"/>
      <c r="B48" s="86"/>
      <c r="C48" s="87"/>
      <c r="D48" s="87"/>
      <c r="E48" s="87"/>
      <c r="H48" s="88"/>
    </row>
    <row r="49" customFormat="false" ht="15.75" hidden="false" customHeight="false" outlineLevel="0" collapsed="false">
      <c r="A49" s="86"/>
      <c r="B49" s="86"/>
      <c r="C49" s="87"/>
      <c r="D49" s="87"/>
      <c r="E49" s="87"/>
      <c r="H49" s="88"/>
    </row>
    <row r="50" customFormat="false" ht="15.75" hidden="false" customHeight="false" outlineLevel="0" collapsed="false">
      <c r="A50" s="86"/>
      <c r="B50" s="86"/>
      <c r="C50" s="87"/>
      <c r="D50" s="89"/>
      <c r="E50" s="87"/>
      <c r="H50" s="88"/>
    </row>
    <row r="51" customFormat="false" ht="15.75" hidden="false" customHeight="false" outlineLevel="0" collapsed="false">
      <c r="A51" s="86"/>
      <c r="B51" s="86"/>
      <c r="C51" s="87"/>
      <c r="D51" s="100"/>
      <c r="E51" s="87"/>
      <c r="H51" s="88"/>
    </row>
    <row r="52" customFormat="false" ht="15.75" hidden="false" customHeight="false" outlineLevel="0" collapsed="false">
      <c r="A52" s="86"/>
      <c r="B52" s="86"/>
      <c r="C52" s="87"/>
      <c r="D52" s="100"/>
      <c r="E52" s="87"/>
      <c r="H52" s="88"/>
    </row>
    <row r="53" customFormat="false" ht="15.75" hidden="false" customHeight="false" outlineLevel="0" collapsed="false">
      <c r="A53" s="86"/>
      <c r="B53" s="86"/>
      <c r="C53" s="87"/>
      <c r="D53" s="100"/>
      <c r="E53" s="87"/>
      <c r="H53" s="88"/>
    </row>
    <row r="54" customFormat="false" ht="15.75" hidden="false" customHeight="false" outlineLevel="0" collapsed="false">
      <c r="A54" s="86"/>
      <c r="B54" s="86"/>
      <c r="C54" s="87"/>
      <c r="D54" s="100"/>
      <c r="E54" s="87"/>
      <c r="H54" s="88"/>
    </row>
    <row r="55" customFormat="false" ht="15.75" hidden="false" customHeight="false" outlineLevel="0" collapsed="false">
      <c r="A55" s="86"/>
      <c r="B55" s="86"/>
      <c r="C55" s="87"/>
      <c r="D55" s="100"/>
      <c r="E55" s="87"/>
      <c r="H55" s="88"/>
    </row>
    <row r="56" customFormat="false" ht="15.75" hidden="false" customHeight="false" outlineLevel="0" collapsed="false">
      <c r="A56" s="86"/>
      <c r="B56" s="86"/>
      <c r="C56" s="87"/>
      <c r="D56" s="87"/>
      <c r="E56" s="87"/>
      <c r="H56" s="88"/>
    </row>
    <row r="57" customFormat="false" ht="15.75" hidden="false" customHeight="false" outlineLevel="0" collapsed="false">
      <c r="A57" s="86"/>
      <c r="B57" s="86"/>
      <c r="C57" s="87"/>
      <c r="D57" s="87"/>
      <c r="E57" s="87"/>
      <c r="H57" s="88"/>
    </row>
    <row r="58" customFormat="false" ht="15.75" hidden="false" customHeight="false" outlineLevel="0" collapsed="false">
      <c r="A58" s="86"/>
      <c r="B58" s="86"/>
      <c r="C58" s="87"/>
      <c r="D58" s="89"/>
      <c r="E58" s="87"/>
      <c r="H58" s="88"/>
    </row>
    <row r="59" customFormat="false" ht="15.75" hidden="false" customHeight="false" outlineLevel="0" collapsed="false">
      <c r="A59" s="86"/>
      <c r="B59" s="86"/>
      <c r="C59" s="87"/>
      <c r="D59" s="87"/>
      <c r="E59" s="87"/>
      <c r="H59" s="88"/>
    </row>
    <row r="60" customFormat="false" ht="15.75" hidden="false" customHeight="false" outlineLevel="0" collapsed="false">
      <c r="A60" s="86"/>
      <c r="B60" s="86"/>
      <c r="C60" s="87"/>
      <c r="D60" s="87"/>
      <c r="E60" s="87"/>
      <c r="H60" s="88"/>
    </row>
    <row r="61" customFormat="false" ht="15.75" hidden="false" customHeight="false" outlineLevel="0" collapsed="false">
      <c r="A61" s="86"/>
      <c r="B61" s="86"/>
      <c r="C61" s="87"/>
      <c r="D61" s="87"/>
      <c r="E61" s="87"/>
      <c r="H61" s="88"/>
    </row>
    <row r="62" customFormat="false" ht="15.75" hidden="false" customHeight="false" outlineLevel="0" collapsed="false">
      <c r="A62" s="86"/>
      <c r="B62" s="86"/>
      <c r="C62" s="87"/>
      <c r="D62" s="100"/>
      <c r="E62" s="87"/>
      <c r="H62" s="88"/>
    </row>
    <row r="63" customFormat="false" ht="15.75" hidden="false" customHeight="false" outlineLevel="0" collapsed="false">
      <c r="A63" s="86"/>
      <c r="B63" s="86"/>
      <c r="C63" s="87"/>
      <c r="D63" s="87"/>
      <c r="E63" s="87"/>
      <c r="H63" s="88"/>
    </row>
    <row r="64" customFormat="false" ht="15.75" hidden="false" customHeight="false" outlineLevel="0" collapsed="false">
      <c r="A64" s="86"/>
      <c r="B64" s="86"/>
      <c r="C64" s="87"/>
      <c r="D64" s="87"/>
      <c r="E64" s="87"/>
      <c r="H64" s="88"/>
    </row>
    <row r="65" customFormat="false" ht="15.75" hidden="false" customHeight="false" outlineLevel="0" collapsed="false">
      <c r="A65" s="86"/>
      <c r="B65" s="86"/>
      <c r="C65" s="87"/>
      <c r="D65" s="87"/>
      <c r="E65" s="87"/>
      <c r="H65" s="88"/>
    </row>
    <row r="66" customFormat="false" ht="15.75" hidden="false" customHeight="false" outlineLevel="0" collapsed="false">
      <c r="A66" s="86"/>
      <c r="B66" s="86"/>
      <c r="C66" s="87"/>
      <c r="D66" s="87"/>
      <c r="E66" s="87"/>
      <c r="H66" s="88"/>
    </row>
    <row r="67" customFormat="false" ht="15.75" hidden="false" customHeight="false" outlineLevel="0" collapsed="false">
      <c r="A67" s="86"/>
      <c r="B67" s="86"/>
      <c r="C67" s="87"/>
      <c r="D67" s="87"/>
      <c r="E67" s="87"/>
      <c r="H67" s="88"/>
    </row>
    <row r="68" customFormat="false" ht="15.75" hidden="false" customHeight="false" outlineLevel="0" collapsed="false">
      <c r="A68" s="86"/>
      <c r="B68" s="86"/>
      <c r="C68" s="87"/>
      <c r="D68" s="87"/>
      <c r="E68" s="87"/>
      <c r="H68" s="88"/>
    </row>
    <row r="69" customFormat="false" ht="15.75" hidden="false" customHeight="false" outlineLevel="0" collapsed="false">
      <c r="A69" s="86"/>
      <c r="B69" s="86"/>
      <c r="C69" s="87"/>
      <c r="D69" s="89"/>
      <c r="E69" s="87"/>
      <c r="H69" s="88"/>
    </row>
    <row r="70" customFormat="false" ht="15.75" hidden="false" customHeight="false" outlineLevel="0" collapsed="false">
      <c r="A70" s="86"/>
      <c r="B70" s="86"/>
      <c r="C70" s="87"/>
      <c r="D70" s="87"/>
      <c r="E70" s="87"/>
      <c r="H70" s="88"/>
    </row>
    <row r="71" customFormat="false" ht="15.75" hidden="false" customHeight="false" outlineLevel="0" collapsed="false">
      <c r="A71" s="86"/>
      <c r="B71" s="86"/>
      <c r="C71" s="87"/>
      <c r="D71" s="87"/>
      <c r="E71" s="87"/>
      <c r="H71" s="88"/>
    </row>
    <row r="72" customFormat="false" ht="15.75" hidden="false" customHeight="false" outlineLevel="0" collapsed="false">
      <c r="A72" s="86"/>
      <c r="B72" s="86"/>
      <c r="C72" s="87"/>
      <c r="D72" s="100"/>
      <c r="E72" s="87"/>
      <c r="H72" s="88"/>
    </row>
    <row r="73" customFormat="false" ht="15.75" hidden="false" customHeight="false" outlineLevel="0" collapsed="false">
      <c r="A73" s="86"/>
      <c r="B73" s="86"/>
      <c r="C73" s="87"/>
      <c r="D73" s="87"/>
      <c r="E73" s="87"/>
      <c r="H73" s="88"/>
    </row>
    <row r="74" customFormat="false" ht="15.75" hidden="false" customHeight="false" outlineLevel="0" collapsed="false">
      <c r="A74" s="86"/>
      <c r="B74" s="86"/>
      <c r="C74" s="87"/>
      <c r="D74" s="89"/>
      <c r="E74" s="87"/>
      <c r="H74" s="88"/>
    </row>
    <row r="75" customFormat="false" ht="15.75" hidden="false" customHeight="false" outlineLevel="0" collapsed="false">
      <c r="A75" s="86"/>
      <c r="B75" s="86"/>
      <c r="C75" s="87"/>
      <c r="D75" s="100"/>
      <c r="E75" s="87"/>
      <c r="H75" s="88"/>
    </row>
    <row r="76" customFormat="false" ht="15.75" hidden="false" customHeight="false" outlineLevel="0" collapsed="false">
      <c r="A76" s="86"/>
      <c r="B76" s="86"/>
      <c r="C76" s="87"/>
      <c r="D76" s="89"/>
      <c r="E76" s="87"/>
      <c r="H76" s="88"/>
    </row>
    <row r="77" customFormat="false" ht="15.75" hidden="false" customHeight="false" outlineLevel="0" collapsed="false">
      <c r="A77" s="86"/>
      <c r="B77" s="86"/>
      <c r="C77" s="87"/>
      <c r="D77" s="89"/>
      <c r="E77" s="87"/>
      <c r="H77" s="88"/>
    </row>
    <row r="78" customFormat="false" ht="15.75" hidden="false" customHeight="false" outlineLevel="0" collapsed="false">
      <c r="A78" s="86"/>
      <c r="B78" s="86"/>
      <c r="C78" s="87"/>
      <c r="D78" s="89"/>
      <c r="E78" s="87"/>
      <c r="H78" s="88"/>
    </row>
    <row r="79" customFormat="false" ht="15.75" hidden="false" customHeight="false" outlineLevel="0" collapsed="false">
      <c r="A79" s="86"/>
      <c r="B79" s="86"/>
      <c r="C79" s="87"/>
      <c r="D79" s="87"/>
      <c r="E79" s="87"/>
      <c r="H79" s="88"/>
    </row>
  </sheetData>
  <autoFilter ref="A1:G1000"/>
  <dataValidations count="3">
    <dataValidation allowBlank="true" errorStyle="stop" operator="between" showDropDown="false" showErrorMessage="true" showInputMessage="false" sqref="H2:H11" type="list">
      <formula1>"Juros e PU batem ,Principal e PU batem ,PU não bate ,Juros não bate,Principal não bate"</formula1>
      <formula2>0</formula2>
    </dataValidation>
    <dataValidation allowBlank="true" errorStyle="stop" operator="between" showDropDown="false" showErrorMessage="true" showInputMessage="false" sqref="J2:J11" type="list">
      <formula1>"Bate,Não bate,Escolher "</formula1>
      <formula2>0</formula2>
    </dataValidation>
    <dataValidation allowBlank="true" errorStyle="stop" operator="between" showDropDown="false" showErrorMessage="true" showInputMessage="false" sqref="G2:G11" type="list">
      <formula1>"Feito,Revisar,Pendente,Não Iniciado,Em Andamento"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75"/>
    <col collapsed="false" customWidth="true" hidden="false" outlineLevel="0" max="6" min="6" style="0" width="27.38"/>
    <col collapsed="false" customWidth="true" hidden="false" outlineLevel="0" max="7" min="7" style="0" width="15.13"/>
    <col collapsed="false" customWidth="true" hidden="false" outlineLevel="0" max="8" min="8" style="0" width="19.63"/>
    <col collapsed="false" customWidth="true" hidden="false" outlineLevel="0" max="11" min="11" style="0" width="17.25"/>
    <col collapsed="false" customWidth="true" hidden="false" outlineLevel="0" max="12" min="12" style="0" width="159.25"/>
  </cols>
  <sheetData>
    <row r="1" customFormat="false" ht="15.75" hidden="false" customHeight="false" outlineLevel="0" collapsed="false">
      <c r="A1" s="85" t="s">
        <v>859</v>
      </c>
      <c r="B1" s="85" t="s">
        <v>860</v>
      </c>
      <c r="C1" s="85" t="s">
        <v>861</v>
      </c>
      <c r="D1" s="85" t="s">
        <v>862</v>
      </c>
      <c r="E1" s="85" t="s">
        <v>863</v>
      </c>
      <c r="F1" s="85" t="s">
        <v>864</v>
      </c>
      <c r="G1" s="85" t="s">
        <v>866</v>
      </c>
      <c r="H1" s="51" t="s">
        <v>867</v>
      </c>
      <c r="I1" s="51" t="s">
        <v>868</v>
      </c>
      <c r="J1" s="51" t="s">
        <v>999</v>
      </c>
      <c r="K1" s="51" t="s">
        <v>10</v>
      </c>
      <c r="L1" s="51" t="s">
        <v>871</v>
      </c>
    </row>
    <row r="2" customFormat="false" ht="15.75" hidden="false" customHeight="false" outlineLevel="0" collapsed="false">
      <c r="A2" s="43" t="s">
        <v>1065</v>
      </c>
      <c r="B2" s="43" t="s">
        <v>883</v>
      </c>
      <c r="C2" s="96" t="n">
        <v>86.21824568</v>
      </c>
      <c r="D2" s="43" t="n">
        <v>86.218245654</v>
      </c>
      <c r="E2" s="87" t="n">
        <f aca="false">D2-C2</f>
        <v>-2.59999950458223E-008</v>
      </c>
      <c r="F2" s="51" t="s">
        <v>21</v>
      </c>
      <c r="G2" s="51" t="s">
        <v>890</v>
      </c>
      <c r="H2" s="88" t="s">
        <v>992</v>
      </c>
      <c r="I2" s="51" t="n">
        <v>86.21824567</v>
      </c>
      <c r="J2" s="51" t="s">
        <v>902</v>
      </c>
      <c r="K2" s="51" t="s">
        <v>1066</v>
      </c>
      <c r="L2" s="51" t="s">
        <v>875</v>
      </c>
    </row>
    <row r="3" customFormat="false" ht="15.75" hidden="false" customHeight="false" outlineLevel="0" collapsed="false">
      <c r="A3" s="43" t="s">
        <v>1067</v>
      </c>
      <c r="B3" s="43" t="s">
        <v>883</v>
      </c>
      <c r="C3" s="96" t="n">
        <v>86.21824568</v>
      </c>
      <c r="D3" s="43" t="n">
        <v>86.218245654</v>
      </c>
      <c r="E3" s="87" t="n">
        <f aca="false">D3-C3</f>
        <v>-2.59999950458223E-008</v>
      </c>
      <c r="F3" s="51" t="s">
        <v>21</v>
      </c>
      <c r="G3" s="51" t="s">
        <v>890</v>
      </c>
      <c r="H3" s="88" t="s">
        <v>992</v>
      </c>
      <c r="I3" s="51" t="n">
        <v>86.21824567</v>
      </c>
      <c r="J3" s="51" t="s">
        <v>902</v>
      </c>
      <c r="K3" s="51" t="s">
        <v>1066</v>
      </c>
    </row>
    <row r="4" customFormat="false" ht="15.75" hidden="false" customHeight="false" outlineLevel="0" collapsed="false">
      <c r="A4" s="43" t="s">
        <v>1068</v>
      </c>
      <c r="B4" s="43" t="s">
        <v>908</v>
      </c>
      <c r="C4" s="96" t="n">
        <v>10.22460022</v>
      </c>
      <c r="D4" s="7" t="n">
        <v>11.8426</v>
      </c>
      <c r="E4" s="87" t="n">
        <f aca="false">D4-C4</f>
        <v>1.61799978</v>
      </c>
      <c r="F4" s="51" t="s">
        <v>1069</v>
      </c>
      <c r="G4" s="51" t="s">
        <v>881</v>
      </c>
      <c r="H4" s="88"/>
      <c r="J4" s="51" t="s">
        <v>915</v>
      </c>
      <c r="L4" s="51" t="s">
        <v>882</v>
      </c>
    </row>
    <row r="5" customFormat="false" ht="15.75" hidden="false" customHeight="false" outlineLevel="0" collapsed="false">
      <c r="A5" s="43" t="s">
        <v>1070</v>
      </c>
      <c r="B5" s="43" t="s">
        <v>929</v>
      </c>
      <c r="C5" s="96" t="n">
        <v>15.38174829</v>
      </c>
      <c r="D5" s="43" t="n">
        <v>15.011015</v>
      </c>
      <c r="E5" s="87" t="n">
        <f aca="false">D5-C5</f>
        <v>-0.37073329</v>
      </c>
      <c r="F5" s="51" t="s">
        <v>1071</v>
      </c>
      <c r="G5" s="51" t="s">
        <v>711</v>
      </c>
      <c r="H5" s="88" t="s">
        <v>1009</v>
      </c>
      <c r="I5" s="51" t="n">
        <v>2.726955</v>
      </c>
      <c r="J5" s="51" t="s">
        <v>915</v>
      </c>
    </row>
    <row r="6" customFormat="false" ht="15.75" hidden="false" customHeight="false" outlineLevel="0" collapsed="false">
      <c r="A6" s="98"/>
      <c r="B6" s="98"/>
      <c r="C6" s="96"/>
      <c r="D6" s="43"/>
      <c r="E6" s="87"/>
      <c r="G6" s="9"/>
      <c r="H6" s="88"/>
      <c r="J6" s="9"/>
    </row>
    <row r="7" customFormat="false" ht="15.75" hidden="false" customHeight="false" outlineLevel="0" collapsed="false">
      <c r="A7" s="98"/>
      <c r="B7" s="98"/>
      <c r="C7" s="96"/>
      <c r="D7" s="43"/>
      <c r="E7" s="87"/>
      <c r="G7" s="9"/>
      <c r="H7" s="88"/>
      <c r="J7" s="9"/>
    </row>
    <row r="8" customFormat="false" ht="15.75" hidden="false" customHeight="false" outlineLevel="0" collapsed="false">
      <c r="A8" s="98"/>
      <c r="B8" s="98"/>
      <c r="C8" s="96"/>
      <c r="D8" s="43"/>
      <c r="E8" s="87"/>
      <c r="G8" s="9"/>
      <c r="H8" s="88"/>
      <c r="J8" s="9"/>
    </row>
    <row r="9" customFormat="false" ht="15.75" hidden="false" customHeight="false" outlineLevel="0" collapsed="false">
      <c r="A9" s="98"/>
      <c r="B9" s="98"/>
      <c r="C9" s="96"/>
      <c r="D9" s="43"/>
      <c r="E9" s="87"/>
      <c r="G9" s="9"/>
      <c r="H9" s="88"/>
      <c r="J9" s="9"/>
    </row>
    <row r="10" customFormat="false" ht="15.75" hidden="false" customHeight="false" outlineLevel="0" collapsed="false">
      <c r="A10" s="98"/>
      <c r="B10" s="98"/>
      <c r="C10" s="96"/>
      <c r="D10" s="43"/>
      <c r="E10" s="87"/>
      <c r="G10" s="9"/>
      <c r="H10" s="88"/>
      <c r="J10" s="9"/>
    </row>
    <row r="11" customFormat="false" ht="15.75" hidden="false" customHeight="false" outlineLevel="0" collapsed="false">
      <c r="A11" s="98"/>
      <c r="B11" s="98"/>
      <c r="C11" s="96"/>
      <c r="D11" s="43"/>
      <c r="E11" s="87"/>
      <c r="G11" s="9"/>
      <c r="H11" s="88"/>
      <c r="J11" s="9"/>
    </row>
    <row r="12" customFormat="false" ht="15.75" hidden="false" customHeight="false" outlineLevel="0" collapsed="false">
      <c r="A12" s="43"/>
      <c r="B12" s="43"/>
      <c r="C12" s="96"/>
      <c r="D12" s="43"/>
      <c r="G12" s="9"/>
      <c r="H12" s="88"/>
      <c r="J12" s="9"/>
    </row>
    <row r="13" customFormat="false" ht="15.75" hidden="false" customHeight="false" outlineLevel="0" collapsed="false">
      <c r="A13" s="43"/>
      <c r="B13" s="43"/>
      <c r="C13" s="96"/>
      <c r="D13" s="43"/>
      <c r="G13" s="9"/>
      <c r="H13" s="88"/>
      <c r="J13" s="9"/>
    </row>
    <row r="14" customFormat="false" ht="15.75" hidden="false" customHeight="false" outlineLevel="0" collapsed="false">
      <c r="A14" s="43"/>
      <c r="B14" s="43"/>
      <c r="C14" s="96"/>
      <c r="G14" s="9"/>
      <c r="H14" s="88"/>
      <c r="J14" s="9"/>
    </row>
    <row r="15" customFormat="false" ht="15.75" hidden="false" customHeight="false" outlineLevel="0" collapsed="false">
      <c r="A15" s="43"/>
      <c r="B15" s="43"/>
      <c r="C15" s="96"/>
      <c r="G15" s="9"/>
      <c r="H15" s="88"/>
      <c r="J15" s="9"/>
    </row>
    <row r="16" customFormat="false" ht="15.75" hidden="false" customHeight="false" outlineLevel="0" collapsed="false">
      <c r="A16" s="43"/>
      <c r="B16" s="43"/>
      <c r="C16" s="96"/>
      <c r="G16" s="9"/>
      <c r="H16" s="88"/>
      <c r="J16" s="9"/>
    </row>
    <row r="17" customFormat="false" ht="15.75" hidden="false" customHeight="false" outlineLevel="0" collapsed="false">
      <c r="A17" s="43"/>
      <c r="B17" s="43"/>
      <c r="C17" s="96"/>
      <c r="G17" s="9"/>
      <c r="H17" s="88"/>
      <c r="J17" s="9"/>
    </row>
    <row r="18" customFormat="false" ht="15.75" hidden="false" customHeight="false" outlineLevel="0" collapsed="false">
      <c r="A18" s="43"/>
      <c r="B18" s="43"/>
      <c r="C18" s="96"/>
      <c r="G18" s="9"/>
      <c r="H18" s="88"/>
      <c r="J18" s="9"/>
    </row>
    <row r="19" customFormat="false" ht="15.75" hidden="false" customHeight="false" outlineLevel="0" collapsed="false">
      <c r="A19" s="43"/>
      <c r="B19" s="43"/>
      <c r="C19" s="96"/>
      <c r="G19" s="9"/>
      <c r="H19" s="88"/>
      <c r="J19" s="9"/>
    </row>
    <row r="20" customFormat="false" ht="15.75" hidden="false" customHeight="false" outlineLevel="0" collapsed="false">
      <c r="A20" s="43"/>
      <c r="B20" s="43"/>
      <c r="C20" s="96"/>
      <c r="G20" s="9"/>
      <c r="H20" s="88"/>
      <c r="J20" s="9"/>
    </row>
    <row r="21" customFormat="false" ht="15.75" hidden="false" customHeight="false" outlineLevel="0" collapsed="false">
      <c r="A21" s="43"/>
      <c r="B21" s="43"/>
      <c r="C21" s="96"/>
      <c r="G21" s="9"/>
      <c r="H21" s="88"/>
      <c r="J21" s="9"/>
    </row>
    <row r="22" customFormat="false" ht="15.75" hidden="false" customHeight="false" outlineLevel="0" collapsed="false">
      <c r="A22" s="43"/>
      <c r="B22" s="43"/>
      <c r="C22" s="96"/>
      <c r="G22" s="9"/>
      <c r="H22" s="88"/>
      <c r="J22" s="9"/>
    </row>
    <row r="23" customFormat="false" ht="15.75" hidden="false" customHeight="false" outlineLevel="0" collapsed="false">
      <c r="A23" s="43"/>
      <c r="B23" s="43"/>
      <c r="C23" s="96"/>
      <c r="G23" s="9"/>
      <c r="H23" s="88"/>
      <c r="J23" s="9"/>
    </row>
    <row r="24" customFormat="false" ht="15.75" hidden="false" customHeight="false" outlineLevel="0" collapsed="false">
      <c r="A24" s="43"/>
      <c r="B24" s="43"/>
      <c r="C24" s="96"/>
      <c r="G24" s="9"/>
      <c r="H24" s="88"/>
      <c r="J24" s="9"/>
    </row>
    <row r="25" customFormat="false" ht="15.75" hidden="false" customHeight="false" outlineLevel="0" collapsed="false">
      <c r="A25" s="43"/>
      <c r="B25" s="43"/>
      <c r="C25" s="96"/>
      <c r="G25" s="9"/>
      <c r="H25" s="88"/>
      <c r="J25" s="9"/>
    </row>
    <row r="26" customFormat="false" ht="15.75" hidden="false" customHeight="false" outlineLevel="0" collapsed="false">
      <c r="A26" s="43"/>
      <c r="B26" s="43"/>
      <c r="C26" s="96"/>
      <c r="G26" s="9"/>
      <c r="H26" s="88"/>
      <c r="J26" s="9"/>
    </row>
    <row r="27" customFormat="false" ht="15.75" hidden="false" customHeight="false" outlineLevel="0" collapsed="false">
      <c r="A27" s="43"/>
      <c r="B27" s="43"/>
      <c r="C27" s="96"/>
      <c r="G27" s="9"/>
      <c r="H27" s="88"/>
      <c r="J27" s="9"/>
    </row>
    <row r="28" customFormat="false" ht="15.75" hidden="false" customHeight="false" outlineLevel="0" collapsed="false">
      <c r="A28" s="43"/>
      <c r="B28" s="43"/>
      <c r="C28" s="96"/>
      <c r="G28" s="9"/>
      <c r="H28" s="88"/>
      <c r="J28" s="9"/>
    </row>
    <row r="29" customFormat="false" ht="15.75" hidden="false" customHeight="false" outlineLevel="0" collapsed="false">
      <c r="G29" s="9"/>
      <c r="H29" s="88"/>
      <c r="J29" s="9"/>
    </row>
    <row r="30" customFormat="false" ht="15.75" hidden="false" customHeight="false" outlineLevel="0" collapsed="false">
      <c r="G30" s="9"/>
      <c r="H30" s="88"/>
      <c r="J30" s="9"/>
    </row>
    <row r="31" customFormat="false" ht="15.75" hidden="false" customHeight="false" outlineLevel="0" collapsed="false">
      <c r="G31" s="9"/>
      <c r="H31" s="88"/>
      <c r="J31" s="9"/>
    </row>
    <row r="32" customFormat="false" ht="15.75" hidden="false" customHeight="false" outlineLevel="0" collapsed="false">
      <c r="G32" s="9"/>
      <c r="H32" s="88"/>
      <c r="J32" s="9"/>
    </row>
    <row r="33" customFormat="false" ht="15.75" hidden="false" customHeight="false" outlineLevel="0" collapsed="false">
      <c r="A33" s="86"/>
      <c r="B33" s="86"/>
      <c r="C33" s="87"/>
      <c r="G33" s="9"/>
      <c r="H33" s="88"/>
      <c r="J33" s="9"/>
    </row>
    <row r="34" customFormat="false" ht="15.75" hidden="false" customHeight="false" outlineLevel="0" collapsed="false">
      <c r="A34" s="86"/>
      <c r="B34" s="86"/>
      <c r="C34" s="87"/>
      <c r="D34" s="87"/>
      <c r="E34" s="87"/>
      <c r="G34" s="9"/>
      <c r="H34" s="88"/>
      <c r="J34" s="9"/>
    </row>
    <row r="35" customFormat="false" ht="15.75" hidden="false" customHeight="false" outlineLevel="0" collapsed="false">
      <c r="A35" s="86"/>
      <c r="B35" s="86"/>
      <c r="C35" s="87"/>
      <c r="D35" s="89"/>
      <c r="E35" s="87"/>
      <c r="G35" s="9"/>
      <c r="H35" s="88"/>
      <c r="J35" s="9"/>
    </row>
    <row r="36" customFormat="false" ht="15.75" hidden="false" customHeight="false" outlineLevel="0" collapsed="false">
      <c r="A36" s="86"/>
      <c r="B36" s="86"/>
      <c r="C36" s="87"/>
      <c r="D36" s="89"/>
      <c r="E36" s="87"/>
      <c r="G36" s="9"/>
      <c r="H36" s="88"/>
      <c r="J36" s="9"/>
    </row>
    <row r="37" customFormat="false" ht="15.75" hidden="false" customHeight="false" outlineLevel="0" collapsed="false">
      <c r="A37" s="86"/>
      <c r="B37" s="86"/>
      <c r="C37" s="87"/>
      <c r="D37" s="89"/>
      <c r="E37" s="87"/>
      <c r="G37" s="9"/>
      <c r="H37" s="88"/>
      <c r="J37" s="9"/>
    </row>
    <row r="38" customFormat="false" ht="15.75" hidden="false" customHeight="false" outlineLevel="0" collapsed="false">
      <c r="A38" s="86"/>
      <c r="B38" s="86"/>
      <c r="C38" s="87"/>
      <c r="D38" s="87"/>
      <c r="E38" s="87"/>
      <c r="G38" s="9"/>
      <c r="H38" s="88"/>
      <c r="J38" s="9"/>
    </row>
    <row r="39" customFormat="false" ht="15.75" hidden="false" customHeight="false" outlineLevel="0" collapsed="false">
      <c r="A39" s="86"/>
      <c r="B39" s="86"/>
      <c r="C39" s="87"/>
      <c r="D39" s="87"/>
      <c r="E39" s="87"/>
      <c r="G39" s="9"/>
      <c r="H39" s="88"/>
      <c r="J39" s="9"/>
    </row>
    <row r="40" customFormat="false" ht="15.75" hidden="false" customHeight="false" outlineLevel="0" collapsed="false">
      <c r="A40" s="86"/>
      <c r="B40" s="86"/>
      <c r="C40" s="87"/>
      <c r="D40" s="89"/>
      <c r="E40" s="87"/>
      <c r="G40" s="9"/>
      <c r="H40" s="88"/>
      <c r="J40" s="9"/>
    </row>
    <row r="41" customFormat="false" ht="15.75" hidden="false" customHeight="false" outlineLevel="0" collapsed="false">
      <c r="A41" s="86"/>
      <c r="B41" s="86"/>
      <c r="C41" s="87"/>
      <c r="D41" s="89"/>
      <c r="E41" s="87"/>
      <c r="G41" s="9"/>
      <c r="H41" s="88"/>
      <c r="J41" s="9"/>
    </row>
    <row r="42" customFormat="false" ht="15.75" hidden="false" customHeight="false" outlineLevel="0" collapsed="false">
      <c r="A42" s="86"/>
      <c r="B42" s="86"/>
      <c r="C42" s="87"/>
      <c r="D42" s="89"/>
      <c r="E42" s="87"/>
      <c r="G42" s="9"/>
      <c r="H42" s="88"/>
      <c r="J42" s="9"/>
    </row>
    <row r="43" customFormat="false" ht="15.75" hidden="false" customHeight="false" outlineLevel="0" collapsed="false">
      <c r="A43" s="86"/>
      <c r="B43" s="86"/>
      <c r="C43" s="87"/>
      <c r="D43" s="89"/>
      <c r="E43" s="87"/>
      <c r="G43" s="9"/>
      <c r="H43" s="88"/>
      <c r="J43" s="9"/>
    </row>
    <row r="44" customFormat="false" ht="15.75" hidden="false" customHeight="false" outlineLevel="0" collapsed="false">
      <c r="A44" s="86"/>
      <c r="B44" s="86"/>
      <c r="C44" s="87"/>
      <c r="D44" s="100"/>
      <c r="E44" s="87"/>
      <c r="G44" s="9"/>
      <c r="H44" s="88"/>
      <c r="J44" s="9"/>
    </row>
    <row r="45" customFormat="false" ht="15.75" hidden="false" customHeight="false" outlineLevel="0" collapsed="false">
      <c r="A45" s="86"/>
      <c r="B45" s="86"/>
      <c r="C45" s="87"/>
      <c r="D45" s="100"/>
      <c r="E45" s="87"/>
      <c r="G45" s="9"/>
      <c r="H45" s="88"/>
      <c r="J45" s="9"/>
    </row>
    <row r="46" customFormat="false" ht="15.75" hidden="false" customHeight="false" outlineLevel="0" collapsed="false">
      <c r="A46" s="86"/>
      <c r="B46" s="86"/>
      <c r="C46" s="87"/>
      <c r="D46" s="89"/>
      <c r="E46" s="87"/>
      <c r="G46" s="9"/>
      <c r="H46" s="88"/>
      <c r="J46" s="9"/>
    </row>
    <row r="47" customFormat="false" ht="15.75" hidden="false" customHeight="false" outlineLevel="0" collapsed="false">
      <c r="A47" s="86"/>
      <c r="B47" s="86"/>
      <c r="C47" s="87"/>
      <c r="D47" s="89"/>
      <c r="E47" s="87"/>
      <c r="G47" s="9"/>
      <c r="H47" s="88"/>
      <c r="J47" s="9"/>
    </row>
    <row r="48" customFormat="false" ht="15.75" hidden="false" customHeight="false" outlineLevel="0" collapsed="false">
      <c r="A48" s="86"/>
      <c r="B48" s="86"/>
      <c r="C48" s="87"/>
      <c r="D48" s="87"/>
      <c r="E48" s="87"/>
      <c r="G48" s="9"/>
      <c r="H48" s="88"/>
      <c r="J48" s="9"/>
    </row>
    <row r="49" customFormat="false" ht="15.75" hidden="false" customHeight="false" outlineLevel="0" collapsed="false">
      <c r="A49" s="86"/>
      <c r="B49" s="86"/>
      <c r="C49" s="87"/>
      <c r="D49" s="87"/>
      <c r="E49" s="87"/>
      <c r="G49" s="9"/>
      <c r="H49" s="88"/>
      <c r="J49" s="9"/>
    </row>
    <row r="50" customFormat="false" ht="15.75" hidden="false" customHeight="false" outlineLevel="0" collapsed="false">
      <c r="A50" s="86"/>
      <c r="B50" s="86"/>
      <c r="C50" s="87"/>
      <c r="D50" s="89"/>
      <c r="E50" s="87"/>
      <c r="G50" s="9"/>
      <c r="H50" s="88"/>
      <c r="J50" s="9"/>
    </row>
    <row r="51" customFormat="false" ht="15.75" hidden="false" customHeight="false" outlineLevel="0" collapsed="false">
      <c r="A51" s="86"/>
      <c r="B51" s="86"/>
      <c r="C51" s="87"/>
      <c r="D51" s="100"/>
      <c r="E51" s="87"/>
      <c r="G51" s="9"/>
      <c r="H51" s="88"/>
      <c r="J51" s="9"/>
    </row>
    <row r="52" customFormat="false" ht="15.75" hidden="false" customHeight="false" outlineLevel="0" collapsed="false">
      <c r="A52" s="86"/>
      <c r="B52" s="86"/>
      <c r="C52" s="87"/>
      <c r="D52" s="100"/>
      <c r="E52" s="87"/>
      <c r="G52" s="9"/>
      <c r="H52" s="88"/>
      <c r="J52" s="9"/>
    </row>
    <row r="53" customFormat="false" ht="15.75" hidden="false" customHeight="false" outlineLevel="0" collapsed="false">
      <c r="A53" s="86"/>
      <c r="B53" s="86"/>
      <c r="C53" s="87"/>
      <c r="D53" s="100"/>
      <c r="E53" s="87"/>
      <c r="G53" s="9"/>
      <c r="H53" s="88"/>
      <c r="J53" s="9"/>
    </row>
    <row r="54" customFormat="false" ht="15.75" hidden="false" customHeight="false" outlineLevel="0" collapsed="false">
      <c r="A54" s="86"/>
      <c r="B54" s="86"/>
      <c r="C54" s="87"/>
      <c r="D54" s="100"/>
      <c r="E54" s="87"/>
      <c r="G54" s="9"/>
      <c r="H54" s="88"/>
      <c r="J54" s="9"/>
    </row>
    <row r="55" customFormat="false" ht="15.75" hidden="false" customHeight="false" outlineLevel="0" collapsed="false">
      <c r="A55" s="86"/>
      <c r="B55" s="86"/>
      <c r="C55" s="87"/>
      <c r="D55" s="100"/>
      <c r="E55" s="87"/>
      <c r="G55" s="9"/>
      <c r="H55" s="88"/>
      <c r="J55" s="9"/>
    </row>
    <row r="56" customFormat="false" ht="15.75" hidden="false" customHeight="false" outlineLevel="0" collapsed="false">
      <c r="A56" s="86"/>
      <c r="B56" s="86"/>
      <c r="C56" s="87"/>
      <c r="D56" s="87"/>
      <c r="E56" s="87"/>
      <c r="G56" s="9"/>
      <c r="H56" s="88"/>
      <c r="J56" s="9"/>
    </row>
    <row r="57" customFormat="false" ht="15.75" hidden="false" customHeight="false" outlineLevel="0" collapsed="false">
      <c r="A57" s="86"/>
      <c r="B57" s="86"/>
      <c r="C57" s="87"/>
      <c r="D57" s="87"/>
      <c r="E57" s="87"/>
      <c r="G57" s="9"/>
      <c r="H57" s="88"/>
      <c r="J57" s="9"/>
    </row>
    <row r="58" customFormat="false" ht="15.75" hidden="false" customHeight="false" outlineLevel="0" collapsed="false">
      <c r="A58" s="86"/>
      <c r="B58" s="86"/>
      <c r="C58" s="87"/>
      <c r="D58" s="89"/>
      <c r="E58" s="87"/>
      <c r="G58" s="9"/>
      <c r="H58" s="88"/>
      <c r="J58" s="9"/>
    </row>
    <row r="59" customFormat="false" ht="15.75" hidden="false" customHeight="false" outlineLevel="0" collapsed="false">
      <c r="A59" s="86"/>
      <c r="B59" s="86"/>
      <c r="C59" s="87"/>
      <c r="D59" s="87"/>
      <c r="E59" s="87"/>
      <c r="G59" s="9"/>
      <c r="H59" s="88"/>
      <c r="J59" s="9"/>
    </row>
    <row r="60" customFormat="false" ht="15.75" hidden="false" customHeight="false" outlineLevel="0" collapsed="false">
      <c r="A60" s="86"/>
      <c r="B60" s="86"/>
      <c r="C60" s="87"/>
      <c r="D60" s="87"/>
      <c r="E60" s="87"/>
      <c r="G60" s="9"/>
      <c r="H60" s="88"/>
      <c r="J60" s="9"/>
    </row>
    <row r="61" customFormat="false" ht="15.75" hidden="false" customHeight="false" outlineLevel="0" collapsed="false">
      <c r="A61" s="86"/>
      <c r="B61" s="86"/>
      <c r="C61" s="87"/>
      <c r="D61" s="87"/>
      <c r="E61" s="87"/>
      <c r="G61" s="9"/>
      <c r="H61" s="88"/>
      <c r="J61" s="9"/>
    </row>
    <row r="62" customFormat="false" ht="15.75" hidden="false" customHeight="false" outlineLevel="0" collapsed="false">
      <c r="A62" s="86"/>
      <c r="B62" s="86"/>
      <c r="C62" s="87"/>
      <c r="D62" s="100"/>
      <c r="E62" s="87"/>
      <c r="G62" s="9"/>
      <c r="H62" s="88"/>
      <c r="J62" s="9"/>
    </row>
    <row r="63" customFormat="false" ht="15.75" hidden="false" customHeight="false" outlineLevel="0" collapsed="false">
      <c r="A63" s="86"/>
      <c r="B63" s="86"/>
      <c r="C63" s="87"/>
      <c r="D63" s="87"/>
      <c r="E63" s="87"/>
      <c r="G63" s="9"/>
      <c r="H63" s="88"/>
      <c r="J63" s="9"/>
    </row>
    <row r="64" customFormat="false" ht="15.75" hidden="false" customHeight="false" outlineLevel="0" collapsed="false">
      <c r="A64" s="86"/>
      <c r="B64" s="86"/>
      <c r="C64" s="87"/>
      <c r="D64" s="87"/>
      <c r="E64" s="87"/>
      <c r="G64" s="9"/>
      <c r="H64" s="88"/>
      <c r="J64" s="9"/>
    </row>
    <row r="65" customFormat="false" ht="15.75" hidden="false" customHeight="false" outlineLevel="0" collapsed="false">
      <c r="A65" s="86"/>
      <c r="B65" s="86"/>
      <c r="C65" s="87"/>
      <c r="D65" s="87"/>
      <c r="E65" s="87"/>
      <c r="G65" s="9"/>
      <c r="H65" s="88"/>
      <c r="J65" s="9"/>
    </row>
    <row r="66" customFormat="false" ht="15.75" hidden="false" customHeight="false" outlineLevel="0" collapsed="false">
      <c r="A66" s="86"/>
      <c r="B66" s="86"/>
      <c r="C66" s="87"/>
      <c r="D66" s="87"/>
      <c r="E66" s="87"/>
      <c r="G66" s="9"/>
      <c r="H66" s="88"/>
      <c r="J66" s="9"/>
    </row>
    <row r="67" customFormat="false" ht="15.75" hidden="false" customHeight="false" outlineLevel="0" collapsed="false">
      <c r="A67" s="86"/>
      <c r="B67" s="86"/>
      <c r="C67" s="87"/>
      <c r="D67" s="87"/>
      <c r="E67" s="87"/>
      <c r="G67" s="9"/>
      <c r="H67" s="88"/>
      <c r="J67" s="9"/>
    </row>
    <row r="68" customFormat="false" ht="15.75" hidden="false" customHeight="false" outlineLevel="0" collapsed="false">
      <c r="A68" s="86"/>
      <c r="B68" s="86"/>
      <c r="C68" s="87"/>
      <c r="D68" s="87"/>
      <c r="E68" s="87"/>
      <c r="G68" s="9"/>
      <c r="H68" s="88"/>
      <c r="J68" s="9"/>
    </row>
    <row r="69" customFormat="false" ht="15.75" hidden="false" customHeight="false" outlineLevel="0" collapsed="false">
      <c r="A69" s="86"/>
      <c r="B69" s="86"/>
      <c r="C69" s="87"/>
      <c r="D69" s="89"/>
      <c r="E69" s="87"/>
      <c r="G69" s="9"/>
      <c r="H69" s="88"/>
      <c r="J69" s="9"/>
    </row>
    <row r="70" customFormat="false" ht="15.75" hidden="false" customHeight="false" outlineLevel="0" collapsed="false">
      <c r="A70" s="86"/>
      <c r="B70" s="86"/>
      <c r="C70" s="87"/>
      <c r="D70" s="87"/>
      <c r="E70" s="87"/>
      <c r="G70" s="9"/>
      <c r="H70" s="88"/>
      <c r="J70" s="9"/>
    </row>
    <row r="71" customFormat="false" ht="15.75" hidden="false" customHeight="false" outlineLevel="0" collapsed="false">
      <c r="A71" s="86"/>
      <c r="B71" s="86"/>
      <c r="C71" s="87"/>
      <c r="D71" s="87"/>
      <c r="E71" s="87"/>
      <c r="G71" s="9"/>
      <c r="H71" s="88"/>
      <c r="J71" s="9"/>
    </row>
    <row r="72" customFormat="false" ht="15.75" hidden="false" customHeight="false" outlineLevel="0" collapsed="false">
      <c r="A72" s="86"/>
      <c r="B72" s="86"/>
      <c r="C72" s="87"/>
      <c r="D72" s="100"/>
      <c r="E72" s="87"/>
      <c r="G72" s="9"/>
      <c r="H72" s="88"/>
      <c r="J72" s="9"/>
    </row>
    <row r="73" customFormat="false" ht="15.75" hidden="false" customHeight="false" outlineLevel="0" collapsed="false">
      <c r="A73" s="86"/>
      <c r="B73" s="86"/>
      <c r="C73" s="87"/>
      <c r="D73" s="87"/>
      <c r="E73" s="87"/>
      <c r="G73" s="9"/>
      <c r="H73" s="88"/>
      <c r="J73" s="9"/>
    </row>
    <row r="74" customFormat="false" ht="15.75" hidden="false" customHeight="false" outlineLevel="0" collapsed="false">
      <c r="A74" s="86"/>
      <c r="B74" s="86"/>
      <c r="C74" s="87"/>
      <c r="D74" s="89"/>
      <c r="E74" s="87"/>
      <c r="G74" s="9"/>
      <c r="H74" s="88"/>
      <c r="J74" s="9"/>
    </row>
    <row r="75" customFormat="false" ht="15.75" hidden="false" customHeight="false" outlineLevel="0" collapsed="false">
      <c r="A75" s="86"/>
      <c r="B75" s="86"/>
      <c r="C75" s="87"/>
      <c r="D75" s="100"/>
      <c r="E75" s="87"/>
      <c r="G75" s="9"/>
      <c r="H75" s="88"/>
      <c r="J75" s="9"/>
    </row>
    <row r="76" customFormat="false" ht="15.75" hidden="false" customHeight="false" outlineLevel="0" collapsed="false">
      <c r="A76" s="86"/>
      <c r="B76" s="86"/>
      <c r="C76" s="87"/>
      <c r="D76" s="89"/>
      <c r="E76" s="87"/>
      <c r="G76" s="9"/>
      <c r="H76" s="88"/>
      <c r="J76" s="9"/>
    </row>
    <row r="77" customFormat="false" ht="15.75" hidden="false" customHeight="false" outlineLevel="0" collapsed="false">
      <c r="A77" s="86"/>
      <c r="B77" s="86"/>
      <c r="C77" s="87"/>
      <c r="D77" s="89"/>
      <c r="E77" s="87"/>
      <c r="G77" s="9"/>
      <c r="H77" s="88"/>
      <c r="J77" s="9"/>
    </row>
    <row r="78" customFormat="false" ht="15.75" hidden="false" customHeight="false" outlineLevel="0" collapsed="false">
      <c r="A78" s="86"/>
      <c r="B78" s="86"/>
      <c r="C78" s="87"/>
      <c r="D78" s="89"/>
      <c r="E78" s="87"/>
      <c r="G78" s="9"/>
      <c r="H78" s="88"/>
      <c r="J78" s="9"/>
    </row>
    <row r="79" customFormat="false" ht="15.75" hidden="false" customHeight="false" outlineLevel="0" collapsed="false">
      <c r="A79" s="86"/>
      <c r="B79" s="86"/>
      <c r="C79" s="87"/>
      <c r="D79" s="87"/>
      <c r="E79" s="87"/>
      <c r="G79" s="9"/>
      <c r="H79" s="88"/>
      <c r="J79" s="9"/>
    </row>
  </sheetData>
  <autoFilter ref="A1:G1000"/>
  <dataValidations count="3">
    <dataValidation allowBlank="true" errorStyle="stop" operator="between" showDropDown="false" showErrorMessage="true" showInputMessage="false" sqref="H2:H79" type="list">
      <formula1>"Juros e PU batem ,Principal e PU batem ,PU não bate ,Juros não bate,Principal não bate"</formula1>
      <formula2>0</formula2>
    </dataValidation>
    <dataValidation allowBlank="true" errorStyle="stop" operator="between" showDropDown="false" showErrorMessage="true" showInputMessage="false" sqref="J2:J79" type="list">
      <formula1>"Bate,Não bate,Escolher "</formula1>
      <formula2>0</formula2>
    </dataValidation>
    <dataValidation allowBlank="true" errorStyle="stop" operator="between" showDropDown="false" showErrorMessage="true" showInputMessage="false" sqref="G2:G79" type="list">
      <formula1>"Feito,Revisar,Pendente,Não Iniciado,Em Andamento"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75"/>
    <col collapsed="false" customWidth="true" hidden="false" outlineLevel="0" max="6" min="6" style="0" width="27.38"/>
    <col collapsed="false" customWidth="true" hidden="false" outlineLevel="0" max="7" min="7" style="0" width="15.13"/>
    <col collapsed="false" customWidth="true" hidden="false" outlineLevel="0" max="8" min="8" style="0" width="19.63"/>
    <col collapsed="false" customWidth="true" hidden="false" outlineLevel="0" max="11" min="11" style="0" width="22.13"/>
    <col collapsed="false" customWidth="true" hidden="false" outlineLevel="0" max="12" min="12" style="0" width="159.25"/>
  </cols>
  <sheetData>
    <row r="1" customFormat="false" ht="15.75" hidden="false" customHeight="false" outlineLevel="0" collapsed="false">
      <c r="A1" s="85" t="s">
        <v>859</v>
      </c>
      <c r="B1" s="85" t="s">
        <v>860</v>
      </c>
      <c r="C1" s="85" t="s">
        <v>861</v>
      </c>
      <c r="D1" s="85" t="s">
        <v>862</v>
      </c>
      <c r="E1" s="85" t="s">
        <v>863</v>
      </c>
      <c r="F1" s="85" t="s">
        <v>864</v>
      </c>
      <c r="G1" s="85" t="s">
        <v>866</v>
      </c>
      <c r="H1" s="51" t="s">
        <v>867</v>
      </c>
      <c r="I1" s="51" t="s">
        <v>868</v>
      </c>
      <c r="J1" s="51" t="s">
        <v>999</v>
      </c>
      <c r="K1" s="51" t="s">
        <v>10</v>
      </c>
      <c r="L1" s="51" t="s">
        <v>871</v>
      </c>
    </row>
    <row r="2" customFormat="false" ht="15.75" hidden="false" customHeight="false" outlineLevel="0" collapsed="false">
      <c r="A2" s="43" t="s">
        <v>1072</v>
      </c>
      <c r="B2" s="43" t="s">
        <v>873</v>
      </c>
      <c r="C2" s="96" t="n">
        <v>1.49312358</v>
      </c>
      <c r="D2" s="7" t="n">
        <v>1.556007</v>
      </c>
      <c r="E2" s="87" t="n">
        <f aca="false">D2-C2</f>
        <v>0.0628834199999999</v>
      </c>
      <c r="F2" s="51" t="s">
        <v>1073</v>
      </c>
      <c r="G2" s="51" t="s">
        <v>711</v>
      </c>
      <c r="H2" s="88" t="s">
        <v>1009</v>
      </c>
      <c r="I2" s="51" t="n">
        <v>1.49312358</v>
      </c>
      <c r="J2" s="51" t="s">
        <v>902</v>
      </c>
      <c r="K2" s="51" t="s">
        <v>1074</v>
      </c>
      <c r="L2" s="51" t="s">
        <v>875</v>
      </c>
    </row>
    <row r="3" customFormat="false" ht="15.75" hidden="false" customHeight="false" outlineLevel="0" collapsed="false">
      <c r="A3" s="43" t="s">
        <v>1072</v>
      </c>
      <c r="B3" s="43" t="s">
        <v>876</v>
      </c>
      <c r="C3" s="96" t="n">
        <v>13.84510916</v>
      </c>
      <c r="D3" s="7" t="n">
        <v>14.4282</v>
      </c>
      <c r="E3" s="87" t="n">
        <f aca="false">D3-C3</f>
        <v>0.583090840000001</v>
      </c>
      <c r="F3" s="51" t="s">
        <v>1073</v>
      </c>
      <c r="G3" s="51" t="s">
        <v>711</v>
      </c>
      <c r="H3" s="88" t="s">
        <v>1010</v>
      </c>
      <c r="I3" s="51" t="n">
        <v>13.84510916</v>
      </c>
      <c r="J3" s="51" t="s">
        <v>902</v>
      </c>
      <c r="K3" s="51" t="s">
        <v>1074</v>
      </c>
    </row>
    <row r="4" customFormat="false" ht="15.75" hidden="false" customHeight="false" outlineLevel="0" collapsed="false">
      <c r="A4" s="43" t="s">
        <v>1075</v>
      </c>
      <c r="B4" s="43" t="s">
        <v>883</v>
      </c>
      <c r="C4" s="96" t="n">
        <v>0.29928747</v>
      </c>
      <c r="D4" s="43" t="n">
        <v>0.299287459</v>
      </c>
      <c r="E4" s="87" t="n">
        <f aca="false">D4-C4</f>
        <v>-1.10000000219657E-008</v>
      </c>
      <c r="F4" s="51" t="s">
        <v>1076</v>
      </c>
      <c r="G4" s="51" t="s">
        <v>890</v>
      </c>
      <c r="H4" s="88" t="s">
        <v>992</v>
      </c>
      <c r="I4" s="51" t="n">
        <v>0.2992874596</v>
      </c>
      <c r="J4" s="51" t="s">
        <v>902</v>
      </c>
      <c r="K4" s="51" t="s">
        <v>1077</v>
      </c>
      <c r="L4" s="51" t="s">
        <v>882</v>
      </c>
    </row>
    <row r="5" customFormat="false" ht="15.75" hidden="false" customHeight="false" outlineLevel="0" collapsed="false">
      <c r="A5" s="43" t="s">
        <v>1078</v>
      </c>
      <c r="B5" s="43" t="s">
        <v>883</v>
      </c>
      <c r="C5" s="96" t="n">
        <v>0.29928747</v>
      </c>
      <c r="D5" s="43" t="n">
        <v>0.299287468</v>
      </c>
      <c r="E5" s="87" t="n">
        <f aca="false">D5-C5</f>
        <v>-1.99999999894729E-009</v>
      </c>
      <c r="F5" s="51" t="s">
        <v>1076</v>
      </c>
      <c r="G5" s="51" t="s">
        <v>890</v>
      </c>
      <c r="H5" s="88" t="s">
        <v>992</v>
      </c>
      <c r="I5" s="51" t="n">
        <v>0.2992874596</v>
      </c>
      <c r="J5" s="51" t="s">
        <v>902</v>
      </c>
      <c r="K5" s="51" t="s">
        <v>1077</v>
      </c>
    </row>
    <row r="6" customFormat="false" ht="15.75" hidden="false" customHeight="false" outlineLevel="0" collapsed="false">
      <c r="A6" s="43" t="s">
        <v>682</v>
      </c>
      <c r="B6" s="43" t="s">
        <v>876</v>
      </c>
      <c r="C6" s="96" t="n">
        <v>1E-008</v>
      </c>
      <c r="D6" s="7" t="n">
        <v>0</v>
      </c>
      <c r="E6" s="87" t="n">
        <f aca="false">D6-C6</f>
        <v>-1E-008</v>
      </c>
      <c r="F6" s="51" t="s">
        <v>954</v>
      </c>
      <c r="G6" s="51" t="s">
        <v>890</v>
      </c>
      <c r="H6" s="88" t="s">
        <v>992</v>
      </c>
      <c r="I6" s="51" t="n">
        <v>0</v>
      </c>
      <c r="J6" s="51" t="s">
        <v>902</v>
      </c>
      <c r="K6" s="51" t="s">
        <v>1079</v>
      </c>
    </row>
    <row r="7" customFormat="false" ht="15.75" hidden="false" customHeight="false" outlineLevel="0" collapsed="false">
      <c r="A7" s="43" t="s">
        <v>1058</v>
      </c>
      <c r="B7" s="43" t="s">
        <v>929</v>
      </c>
      <c r="C7" s="96" t="n">
        <v>1.24367851</v>
      </c>
      <c r="D7" s="7" t="n">
        <v>1.243678744</v>
      </c>
      <c r="E7" s="87" t="n">
        <f aca="false">D7-C7</f>
        <v>2.33999999821322E-007</v>
      </c>
      <c r="F7" s="51" t="s">
        <v>224</v>
      </c>
      <c r="G7" s="51" t="s">
        <v>890</v>
      </c>
      <c r="H7" s="88" t="s">
        <v>891</v>
      </c>
      <c r="I7" s="51" t="n">
        <v>1.243678744</v>
      </c>
      <c r="J7" s="51" t="s">
        <v>902</v>
      </c>
      <c r="K7" s="51" t="s">
        <v>906</v>
      </c>
    </row>
    <row r="8" customFormat="false" ht="15.75" hidden="false" customHeight="false" outlineLevel="0" collapsed="false">
      <c r="A8" s="98"/>
      <c r="B8" s="98"/>
      <c r="C8" s="96"/>
      <c r="D8" s="43"/>
      <c r="E8" s="87"/>
      <c r="H8" s="88"/>
    </row>
    <row r="9" customFormat="false" ht="15.75" hidden="false" customHeight="false" outlineLevel="0" collapsed="false">
      <c r="A9" s="98"/>
      <c r="B9" s="98"/>
      <c r="C9" s="96"/>
      <c r="D9" s="43"/>
      <c r="E9" s="87"/>
      <c r="H9" s="88"/>
    </row>
    <row r="10" customFormat="false" ht="15.75" hidden="false" customHeight="false" outlineLevel="0" collapsed="false">
      <c r="A10" s="98"/>
      <c r="B10" s="98"/>
      <c r="C10" s="96"/>
      <c r="D10" s="43"/>
      <c r="E10" s="87"/>
      <c r="H10" s="88"/>
    </row>
    <row r="11" customFormat="false" ht="15.75" hidden="false" customHeight="false" outlineLevel="0" collapsed="false">
      <c r="A11" s="98"/>
      <c r="B11" s="98"/>
      <c r="C11" s="96"/>
      <c r="D11" s="43"/>
      <c r="E11" s="87"/>
      <c r="H11" s="88"/>
    </row>
    <row r="12" customFormat="false" ht="15.75" hidden="false" customHeight="false" outlineLevel="0" collapsed="false">
      <c r="A12" s="43"/>
      <c r="B12" s="43"/>
      <c r="C12" s="96"/>
      <c r="D12" s="43"/>
      <c r="E12" s="87"/>
      <c r="H12" s="88"/>
    </row>
    <row r="13" customFormat="false" ht="15.75" hidden="false" customHeight="false" outlineLevel="0" collapsed="false">
      <c r="A13" s="43"/>
      <c r="B13" s="43"/>
      <c r="C13" s="96"/>
      <c r="D13" s="43"/>
      <c r="E13" s="87"/>
      <c r="H13" s="88"/>
    </row>
    <row r="14" customFormat="false" ht="15.75" hidden="false" customHeight="false" outlineLevel="0" collapsed="false">
      <c r="A14" s="43"/>
      <c r="B14" s="43"/>
      <c r="C14" s="96"/>
      <c r="E14" s="87"/>
      <c r="H14" s="88"/>
    </row>
    <row r="15" customFormat="false" ht="15.75" hidden="false" customHeight="false" outlineLevel="0" collapsed="false">
      <c r="A15" s="43"/>
      <c r="B15" s="43"/>
      <c r="C15" s="96"/>
      <c r="H15" s="88"/>
    </row>
    <row r="16" customFormat="false" ht="15.75" hidden="false" customHeight="false" outlineLevel="0" collapsed="false">
      <c r="A16" s="43"/>
      <c r="B16" s="43"/>
      <c r="C16" s="96"/>
      <c r="H16" s="88"/>
    </row>
    <row r="17" customFormat="false" ht="15.75" hidden="false" customHeight="false" outlineLevel="0" collapsed="false">
      <c r="A17" s="43"/>
      <c r="B17" s="43"/>
      <c r="C17" s="96"/>
      <c r="H17" s="88"/>
    </row>
    <row r="18" customFormat="false" ht="15.75" hidden="false" customHeight="false" outlineLevel="0" collapsed="false">
      <c r="A18" s="43"/>
      <c r="B18" s="43"/>
      <c r="C18" s="96"/>
      <c r="H18" s="88"/>
    </row>
    <row r="19" customFormat="false" ht="15.75" hidden="false" customHeight="false" outlineLevel="0" collapsed="false">
      <c r="A19" s="43"/>
      <c r="B19" s="43"/>
      <c r="C19" s="96"/>
      <c r="H19" s="88"/>
    </row>
    <row r="20" customFormat="false" ht="15.75" hidden="false" customHeight="false" outlineLevel="0" collapsed="false">
      <c r="A20" s="43"/>
      <c r="B20" s="43"/>
      <c r="C20" s="96"/>
      <c r="H20" s="88"/>
    </row>
    <row r="21" customFormat="false" ht="15.75" hidden="false" customHeight="false" outlineLevel="0" collapsed="false">
      <c r="A21" s="43"/>
      <c r="B21" s="43"/>
      <c r="C21" s="96"/>
      <c r="H21" s="88"/>
    </row>
    <row r="22" customFormat="false" ht="15.75" hidden="false" customHeight="false" outlineLevel="0" collapsed="false">
      <c r="A22" s="43"/>
      <c r="B22" s="43"/>
      <c r="C22" s="96"/>
      <c r="H22" s="88"/>
    </row>
    <row r="23" customFormat="false" ht="15.75" hidden="false" customHeight="false" outlineLevel="0" collapsed="false">
      <c r="A23" s="43"/>
      <c r="B23" s="43"/>
      <c r="C23" s="96"/>
      <c r="H23" s="88"/>
    </row>
    <row r="24" customFormat="false" ht="15.75" hidden="false" customHeight="false" outlineLevel="0" collapsed="false">
      <c r="A24" s="43"/>
      <c r="B24" s="43"/>
      <c r="C24" s="96"/>
      <c r="H24" s="88"/>
    </row>
    <row r="25" customFormat="false" ht="15.75" hidden="false" customHeight="false" outlineLevel="0" collapsed="false">
      <c r="A25" s="43"/>
      <c r="B25" s="43"/>
      <c r="C25" s="96"/>
      <c r="H25" s="88"/>
    </row>
    <row r="26" customFormat="false" ht="15.75" hidden="false" customHeight="false" outlineLevel="0" collapsed="false">
      <c r="A26" s="43"/>
      <c r="B26" s="43"/>
      <c r="C26" s="96"/>
      <c r="H26" s="88"/>
    </row>
    <row r="27" customFormat="false" ht="15.75" hidden="false" customHeight="false" outlineLevel="0" collapsed="false">
      <c r="A27" s="43"/>
      <c r="B27" s="43"/>
      <c r="C27" s="96"/>
      <c r="H27" s="88"/>
    </row>
    <row r="28" customFormat="false" ht="15.75" hidden="false" customHeight="false" outlineLevel="0" collapsed="false">
      <c r="A28" s="43"/>
      <c r="B28" s="43"/>
      <c r="C28" s="96"/>
      <c r="H28" s="88"/>
    </row>
    <row r="29" customFormat="false" ht="15.75" hidden="false" customHeight="false" outlineLevel="0" collapsed="false">
      <c r="H29" s="88"/>
    </row>
    <row r="30" customFormat="false" ht="15.75" hidden="false" customHeight="false" outlineLevel="0" collapsed="false">
      <c r="H30" s="88"/>
    </row>
    <row r="31" customFormat="false" ht="15.75" hidden="false" customHeight="false" outlineLevel="0" collapsed="false">
      <c r="H31" s="88"/>
    </row>
    <row r="32" customFormat="false" ht="15.75" hidden="false" customHeight="false" outlineLevel="0" collapsed="false">
      <c r="H32" s="88"/>
    </row>
    <row r="33" customFormat="false" ht="15.75" hidden="false" customHeight="false" outlineLevel="0" collapsed="false">
      <c r="A33" s="86"/>
      <c r="B33" s="86"/>
      <c r="C33" s="87"/>
      <c r="H33" s="88"/>
    </row>
    <row r="34" customFormat="false" ht="15.75" hidden="false" customHeight="false" outlineLevel="0" collapsed="false">
      <c r="A34" s="86"/>
      <c r="B34" s="86"/>
      <c r="C34" s="87"/>
      <c r="D34" s="87"/>
      <c r="E34" s="87"/>
      <c r="H34" s="88"/>
    </row>
    <row r="35" customFormat="false" ht="15.75" hidden="false" customHeight="false" outlineLevel="0" collapsed="false">
      <c r="A35" s="86"/>
      <c r="B35" s="86"/>
      <c r="C35" s="87"/>
      <c r="D35" s="89"/>
      <c r="E35" s="87"/>
      <c r="H35" s="88"/>
    </row>
    <row r="36" customFormat="false" ht="15.75" hidden="false" customHeight="false" outlineLevel="0" collapsed="false">
      <c r="A36" s="86"/>
      <c r="B36" s="86"/>
      <c r="C36" s="87"/>
      <c r="D36" s="89"/>
      <c r="E36" s="87"/>
      <c r="H36" s="88"/>
    </row>
    <row r="37" customFormat="false" ht="15.75" hidden="false" customHeight="false" outlineLevel="0" collapsed="false">
      <c r="A37" s="86"/>
      <c r="B37" s="86"/>
      <c r="C37" s="87"/>
      <c r="D37" s="89"/>
      <c r="E37" s="87"/>
      <c r="H37" s="88"/>
    </row>
    <row r="38" customFormat="false" ht="15.75" hidden="false" customHeight="false" outlineLevel="0" collapsed="false">
      <c r="A38" s="86"/>
      <c r="B38" s="86"/>
      <c r="C38" s="87"/>
      <c r="D38" s="87"/>
      <c r="E38" s="87"/>
      <c r="H38" s="88"/>
    </row>
    <row r="39" customFormat="false" ht="15.75" hidden="false" customHeight="false" outlineLevel="0" collapsed="false">
      <c r="A39" s="86"/>
      <c r="B39" s="86"/>
      <c r="C39" s="87"/>
      <c r="D39" s="87"/>
      <c r="E39" s="87"/>
      <c r="H39" s="88"/>
    </row>
    <row r="40" customFormat="false" ht="15.75" hidden="false" customHeight="false" outlineLevel="0" collapsed="false">
      <c r="A40" s="86"/>
      <c r="B40" s="86"/>
      <c r="C40" s="87"/>
      <c r="D40" s="89"/>
      <c r="E40" s="87"/>
      <c r="H40" s="88"/>
    </row>
    <row r="41" customFormat="false" ht="15.75" hidden="false" customHeight="false" outlineLevel="0" collapsed="false">
      <c r="A41" s="86"/>
      <c r="B41" s="86"/>
      <c r="C41" s="87"/>
      <c r="D41" s="89"/>
      <c r="E41" s="87"/>
      <c r="H41" s="88"/>
    </row>
    <row r="42" customFormat="false" ht="15.75" hidden="false" customHeight="false" outlineLevel="0" collapsed="false">
      <c r="A42" s="86"/>
      <c r="B42" s="86"/>
      <c r="C42" s="87"/>
      <c r="D42" s="89"/>
      <c r="E42" s="87"/>
      <c r="H42" s="88"/>
    </row>
    <row r="43" customFormat="false" ht="15.75" hidden="false" customHeight="false" outlineLevel="0" collapsed="false">
      <c r="A43" s="86"/>
      <c r="B43" s="86"/>
      <c r="C43" s="87"/>
      <c r="D43" s="89"/>
      <c r="E43" s="87"/>
      <c r="H43" s="88"/>
    </row>
    <row r="44" customFormat="false" ht="15.75" hidden="false" customHeight="false" outlineLevel="0" collapsed="false">
      <c r="A44" s="86"/>
      <c r="B44" s="86"/>
      <c r="C44" s="87"/>
      <c r="D44" s="100"/>
      <c r="E44" s="87"/>
      <c r="H44" s="88"/>
    </row>
    <row r="45" customFormat="false" ht="15.75" hidden="false" customHeight="false" outlineLevel="0" collapsed="false">
      <c r="A45" s="86"/>
      <c r="B45" s="86"/>
      <c r="C45" s="87"/>
      <c r="D45" s="100"/>
      <c r="E45" s="87"/>
      <c r="H45" s="88"/>
    </row>
    <row r="46" customFormat="false" ht="15.75" hidden="false" customHeight="false" outlineLevel="0" collapsed="false">
      <c r="A46" s="86"/>
      <c r="B46" s="86"/>
      <c r="C46" s="87"/>
      <c r="D46" s="89"/>
      <c r="E46" s="87"/>
      <c r="H46" s="88"/>
    </row>
    <row r="47" customFormat="false" ht="15.75" hidden="false" customHeight="false" outlineLevel="0" collapsed="false">
      <c r="A47" s="86"/>
      <c r="B47" s="86"/>
      <c r="C47" s="87"/>
      <c r="D47" s="89"/>
      <c r="E47" s="87"/>
      <c r="H47" s="88"/>
    </row>
    <row r="48" customFormat="false" ht="15.75" hidden="false" customHeight="false" outlineLevel="0" collapsed="false">
      <c r="A48" s="86"/>
      <c r="B48" s="86"/>
      <c r="C48" s="87"/>
      <c r="D48" s="87"/>
      <c r="E48" s="87"/>
      <c r="H48" s="88"/>
    </row>
    <row r="49" customFormat="false" ht="15.75" hidden="false" customHeight="false" outlineLevel="0" collapsed="false">
      <c r="A49" s="86"/>
      <c r="B49" s="86"/>
      <c r="C49" s="87"/>
      <c r="D49" s="87"/>
      <c r="E49" s="87"/>
      <c r="H49" s="88"/>
    </row>
    <row r="50" customFormat="false" ht="15.75" hidden="false" customHeight="false" outlineLevel="0" collapsed="false">
      <c r="A50" s="86"/>
      <c r="B50" s="86"/>
      <c r="C50" s="87"/>
      <c r="D50" s="89"/>
      <c r="E50" s="87"/>
      <c r="H50" s="88"/>
    </row>
    <row r="51" customFormat="false" ht="15.75" hidden="false" customHeight="false" outlineLevel="0" collapsed="false">
      <c r="A51" s="86"/>
      <c r="B51" s="86"/>
      <c r="C51" s="87"/>
      <c r="D51" s="100"/>
      <c r="E51" s="87"/>
      <c r="H51" s="88"/>
    </row>
    <row r="52" customFormat="false" ht="15.75" hidden="false" customHeight="false" outlineLevel="0" collapsed="false">
      <c r="A52" s="86"/>
      <c r="B52" s="86"/>
      <c r="C52" s="87"/>
      <c r="D52" s="100"/>
      <c r="E52" s="87"/>
      <c r="H52" s="88"/>
    </row>
    <row r="53" customFormat="false" ht="15.75" hidden="false" customHeight="false" outlineLevel="0" collapsed="false">
      <c r="A53" s="86"/>
      <c r="B53" s="86"/>
      <c r="C53" s="87"/>
      <c r="D53" s="100"/>
      <c r="E53" s="87"/>
      <c r="H53" s="88"/>
    </row>
    <row r="54" customFormat="false" ht="15.75" hidden="false" customHeight="false" outlineLevel="0" collapsed="false">
      <c r="A54" s="86"/>
      <c r="B54" s="86"/>
      <c r="C54" s="87"/>
      <c r="D54" s="100"/>
      <c r="E54" s="87"/>
      <c r="H54" s="88"/>
    </row>
    <row r="55" customFormat="false" ht="15.75" hidden="false" customHeight="false" outlineLevel="0" collapsed="false">
      <c r="A55" s="86"/>
      <c r="B55" s="86"/>
      <c r="C55" s="87"/>
      <c r="D55" s="100"/>
      <c r="E55" s="87"/>
      <c r="H55" s="88"/>
    </row>
    <row r="56" customFormat="false" ht="15.75" hidden="false" customHeight="false" outlineLevel="0" collapsed="false">
      <c r="A56" s="86"/>
      <c r="B56" s="86"/>
      <c r="C56" s="87"/>
      <c r="D56" s="87"/>
      <c r="E56" s="87"/>
      <c r="H56" s="88"/>
    </row>
    <row r="57" customFormat="false" ht="15.75" hidden="false" customHeight="false" outlineLevel="0" collapsed="false">
      <c r="A57" s="86"/>
      <c r="B57" s="86"/>
      <c r="C57" s="87"/>
      <c r="D57" s="87"/>
      <c r="E57" s="87"/>
      <c r="H57" s="88"/>
    </row>
    <row r="58" customFormat="false" ht="15.75" hidden="false" customHeight="false" outlineLevel="0" collapsed="false">
      <c r="A58" s="86"/>
      <c r="B58" s="86"/>
      <c r="C58" s="87"/>
      <c r="D58" s="89"/>
      <c r="E58" s="87"/>
      <c r="H58" s="88"/>
    </row>
    <row r="59" customFormat="false" ht="15.75" hidden="false" customHeight="false" outlineLevel="0" collapsed="false">
      <c r="A59" s="86"/>
      <c r="B59" s="86"/>
      <c r="C59" s="87"/>
      <c r="D59" s="87"/>
      <c r="E59" s="87"/>
      <c r="H59" s="88"/>
    </row>
    <row r="60" customFormat="false" ht="15.75" hidden="false" customHeight="false" outlineLevel="0" collapsed="false">
      <c r="A60" s="86"/>
      <c r="B60" s="86"/>
      <c r="C60" s="87"/>
      <c r="D60" s="87"/>
      <c r="E60" s="87"/>
      <c r="H60" s="88"/>
    </row>
    <row r="61" customFormat="false" ht="15.75" hidden="false" customHeight="false" outlineLevel="0" collapsed="false">
      <c r="A61" s="86"/>
      <c r="B61" s="86"/>
      <c r="C61" s="87"/>
      <c r="D61" s="87"/>
      <c r="E61" s="87"/>
      <c r="H61" s="88"/>
    </row>
    <row r="62" customFormat="false" ht="15.75" hidden="false" customHeight="false" outlineLevel="0" collapsed="false">
      <c r="A62" s="86"/>
      <c r="B62" s="86"/>
      <c r="C62" s="87"/>
      <c r="D62" s="100"/>
      <c r="E62" s="87"/>
      <c r="H62" s="88"/>
    </row>
    <row r="63" customFormat="false" ht="15.75" hidden="false" customHeight="false" outlineLevel="0" collapsed="false">
      <c r="A63" s="86"/>
      <c r="B63" s="86"/>
      <c r="C63" s="87"/>
      <c r="D63" s="87"/>
      <c r="E63" s="87"/>
      <c r="H63" s="88"/>
    </row>
    <row r="64" customFormat="false" ht="15.75" hidden="false" customHeight="false" outlineLevel="0" collapsed="false">
      <c r="A64" s="86"/>
      <c r="B64" s="86"/>
      <c r="C64" s="87"/>
      <c r="D64" s="87"/>
      <c r="E64" s="87"/>
      <c r="H64" s="88"/>
    </row>
    <row r="65" customFormat="false" ht="15.75" hidden="false" customHeight="false" outlineLevel="0" collapsed="false">
      <c r="A65" s="86"/>
      <c r="B65" s="86"/>
      <c r="C65" s="87"/>
      <c r="D65" s="87"/>
      <c r="E65" s="87"/>
      <c r="H65" s="88"/>
    </row>
    <row r="66" customFormat="false" ht="15.75" hidden="false" customHeight="false" outlineLevel="0" collapsed="false">
      <c r="A66" s="86"/>
      <c r="B66" s="86"/>
      <c r="C66" s="87"/>
      <c r="D66" s="87"/>
      <c r="E66" s="87"/>
      <c r="H66" s="88"/>
    </row>
    <row r="67" customFormat="false" ht="15.75" hidden="false" customHeight="false" outlineLevel="0" collapsed="false">
      <c r="A67" s="86"/>
      <c r="B67" s="86"/>
      <c r="C67" s="87"/>
      <c r="D67" s="87"/>
      <c r="E67" s="87"/>
      <c r="H67" s="88"/>
    </row>
    <row r="68" customFormat="false" ht="15.75" hidden="false" customHeight="false" outlineLevel="0" collapsed="false">
      <c r="A68" s="86"/>
      <c r="B68" s="86"/>
      <c r="C68" s="87"/>
      <c r="D68" s="87"/>
      <c r="E68" s="87"/>
      <c r="H68" s="88"/>
    </row>
    <row r="69" customFormat="false" ht="15.75" hidden="false" customHeight="false" outlineLevel="0" collapsed="false">
      <c r="A69" s="86"/>
      <c r="B69" s="86"/>
      <c r="C69" s="87"/>
      <c r="D69" s="89"/>
      <c r="E69" s="87"/>
      <c r="H69" s="88"/>
    </row>
    <row r="70" customFormat="false" ht="15.75" hidden="false" customHeight="false" outlineLevel="0" collapsed="false">
      <c r="A70" s="86"/>
      <c r="B70" s="86"/>
      <c r="C70" s="87"/>
      <c r="D70" s="87"/>
      <c r="E70" s="87"/>
      <c r="H70" s="88"/>
    </row>
    <row r="71" customFormat="false" ht="15.75" hidden="false" customHeight="false" outlineLevel="0" collapsed="false">
      <c r="A71" s="86"/>
      <c r="B71" s="86"/>
      <c r="C71" s="87"/>
      <c r="D71" s="87"/>
      <c r="E71" s="87"/>
      <c r="H71" s="88"/>
    </row>
    <row r="72" customFormat="false" ht="15.75" hidden="false" customHeight="false" outlineLevel="0" collapsed="false">
      <c r="A72" s="86"/>
      <c r="B72" s="86"/>
      <c r="C72" s="87"/>
      <c r="D72" s="100"/>
      <c r="E72" s="87"/>
      <c r="H72" s="88"/>
    </row>
    <row r="73" customFormat="false" ht="15.75" hidden="false" customHeight="false" outlineLevel="0" collapsed="false">
      <c r="A73" s="86"/>
      <c r="B73" s="86"/>
      <c r="C73" s="87"/>
      <c r="D73" s="87"/>
      <c r="E73" s="87"/>
      <c r="H73" s="88"/>
    </row>
    <row r="74" customFormat="false" ht="15.75" hidden="false" customHeight="false" outlineLevel="0" collapsed="false">
      <c r="A74" s="86"/>
      <c r="B74" s="86"/>
      <c r="C74" s="87"/>
      <c r="D74" s="89"/>
      <c r="E74" s="87"/>
      <c r="H74" s="88"/>
    </row>
    <row r="75" customFormat="false" ht="15.75" hidden="false" customHeight="false" outlineLevel="0" collapsed="false">
      <c r="A75" s="86"/>
      <c r="B75" s="86"/>
      <c r="C75" s="87"/>
      <c r="D75" s="100"/>
      <c r="E75" s="87"/>
      <c r="H75" s="88"/>
    </row>
    <row r="76" customFormat="false" ht="15.75" hidden="false" customHeight="false" outlineLevel="0" collapsed="false">
      <c r="A76" s="86"/>
      <c r="B76" s="86"/>
      <c r="C76" s="87"/>
      <c r="D76" s="89"/>
      <c r="E76" s="87"/>
      <c r="H76" s="88"/>
    </row>
    <row r="77" customFormat="false" ht="15.75" hidden="false" customHeight="false" outlineLevel="0" collapsed="false">
      <c r="A77" s="86"/>
      <c r="B77" s="86"/>
      <c r="C77" s="87"/>
      <c r="D77" s="89"/>
      <c r="E77" s="87"/>
      <c r="H77" s="88"/>
    </row>
    <row r="78" customFormat="false" ht="15.75" hidden="false" customHeight="false" outlineLevel="0" collapsed="false">
      <c r="A78" s="86"/>
      <c r="B78" s="86"/>
      <c r="C78" s="87"/>
      <c r="D78" s="89"/>
      <c r="E78" s="87"/>
      <c r="H78" s="88"/>
    </row>
    <row r="79" customFormat="false" ht="15.75" hidden="false" customHeight="false" outlineLevel="0" collapsed="false">
      <c r="A79" s="86"/>
      <c r="B79" s="86"/>
      <c r="C79" s="87"/>
      <c r="D79" s="87"/>
      <c r="E79" s="87"/>
      <c r="H79" s="88"/>
    </row>
  </sheetData>
  <autoFilter ref="A1:G1000"/>
  <dataValidations count="3">
    <dataValidation allowBlank="true" errorStyle="stop" operator="between" showDropDown="false" showErrorMessage="true" showInputMessage="false" sqref="H2:H7" type="list">
      <formula1>"Juros e PU batem ,Principal e PU batem ,PU não bate ,Juros não bate,Principal não bate"</formula1>
      <formula2>0</formula2>
    </dataValidation>
    <dataValidation allowBlank="true" errorStyle="stop" operator="between" showDropDown="false" showErrorMessage="true" showInputMessage="false" sqref="J2:J7" type="list">
      <formula1>"Bate,Não bate,Escolher "</formula1>
      <formula2>0</formula2>
    </dataValidation>
    <dataValidation allowBlank="true" errorStyle="stop" operator="between" showDropDown="false" showErrorMessage="true" showInputMessage="false" sqref="G2:G7" type="list">
      <formula1>"Feito,Revisar,Pendente,Não Iniciado,Em Andamento"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75"/>
    <col collapsed="false" customWidth="true" hidden="false" outlineLevel="0" max="6" min="6" style="0" width="27.38"/>
    <col collapsed="false" customWidth="true" hidden="false" outlineLevel="0" max="7" min="7" style="0" width="15.13"/>
    <col collapsed="false" customWidth="true" hidden="false" outlineLevel="0" max="8" min="8" style="0" width="19.63"/>
    <col collapsed="false" customWidth="true" hidden="false" outlineLevel="0" max="11" min="11" style="0" width="56.13"/>
    <col collapsed="false" customWidth="true" hidden="false" outlineLevel="0" max="12" min="12" style="0" width="159.25"/>
  </cols>
  <sheetData>
    <row r="1" customFormat="false" ht="15.75" hidden="false" customHeight="false" outlineLevel="0" collapsed="false">
      <c r="A1" s="85" t="s">
        <v>859</v>
      </c>
      <c r="B1" s="85" t="s">
        <v>860</v>
      </c>
      <c r="C1" s="85" t="s">
        <v>861</v>
      </c>
      <c r="D1" s="85" t="s">
        <v>862</v>
      </c>
      <c r="E1" s="85" t="s">
        <v>863</v>
      </c>
      <c r="F1" s="85" t="s">
        <v>864</v>
      </c>
      <c r="G1" s="85" t="s">
        <v>866</v>
      </c>
      <c r="H1" s="51" t="s">
        <v>867</v>
      </c>
      <c r="I1" s="51" t="s">
        <v>868</v>
      </c>
      <c r="J1" s="51" t="s">
        <v>999</v>
      </c>
      <c r="L1" s="51" t="s">
        <v>871</v>
      </c>
    </row>
    <row r="2" customFormat="false" ht="15.75" hidden="false" customHeight="false" outlineLevel="0" collapsed="false">
      <c r="A2" s="43" t="s">
        <v>1080</v>
      </c>
      <c r="B2" s="43" t="s">
        <v>873</v>
      </c>
      <c r="C2" s="96" t="n">
        <v>3.10797328</v>
      </c>
      <c r="D2" s="7" t="n">
        <v>3.10797465</v>
      </c>
      <c r="E2" s="87" t="n">
        <f aca="false">D2-C2</f>
        <v>1.37000000011156E-006</v>
      </c>
      <c r="F2" s="51" t="s">
        <v>21</v>
      </c>
      <c r="G2" s="51" t="s">
        <v>890</v>
      </c>
      <c r="H2" s="88" t="s">
        <v>891</v>
      </c>
      <c r="I2" s="51" t="n">
        <v>3.1079736</v>
      </c>
      <c r="J2" s="51" t="s">
        <v>902</v>
      </c>
      <c r="K2" s="51" t="s">
        <v>1081</v>
      </c>
      <c r="L2" s="51" t="s">
        <v>875</v>
      </c>
    </row>
    <row r="3" customFormat="false" ht="15.75" hidden="false" customHeight="false" outlineLevel="0" collapsed="false">
      <c r="A3" s="43" t="s">
        <v>1080</v>
      </c>
      <c r="B3" s="43" t="s">
        <v>876</v>
      </c>
      <c r="C3" s="96" t="n">
        <v>2.86517939</v>
      </c>
      <c r="D3" s="7" t="n">
        <v>2.865180658</v>
      </c>
      <c r="E3" s="87" t="n">
        <f aca="false">D3-C3</f>
        <v>1.26799999966565E-006</v>
      </c>
      <c r="F3" s="51" t="s">
        <v>21</v>
      </c>
      <c r="G3" s="51" t="s">
        <v>890</v>
      </c>
      <c r="H3" s="88" t="s">
        <v>992</v>
      </c>
      <c r="I3" s="51" t="n">
        <v>2.86517969</v>
      </c>
      <c r="J3" s="51" t="s">
        <v>902</v>
      </c>
      <c r="K3" s="51" t="s">
        <v>1081</v>
      </c>
    </row>
    <row r="4" customFormat="false" ht="15.75" hidden="false" customHeight="false" outlineLevel="0" collapsed="false">
      <c r="A4" s="43" t="s">
        <v>717</v>
      </c>
      <c r="B4" s="43" t="s">
        <v>908</v>
      </c>
      <c r="C4" s="96" t="n">
        <v>0.01631917</v>
      </c>
      <c r="D4" s="7" t="n">
        <v>0.01631912</v>
      </c>
      <c r="E4" s="87" t="n">
        <f aca="false">D4-C4</f>
        <v>-5.00000000014378E-008</v>
      </c>
      <c r="F4" s="51" t="s">
        <v>224</v>
      </c>
      <c r="G4" s="51" t="s">
        <v>890</v>
      </c>
      <c r="H4" s="88" t="s">
        <v>891</v>
      </c>
      <c r="I4" s="51" t="n">
        <v>0.01631917</v>
      </c>
      <c r="J4" s="51" t="s">
        <v>902</v>
      </c>
      <c r="K4" s="51" t="s">
        <v>1082</v>
      </c>
      <c r="L4" s="51" t="s">
        <v>882</v>
      </c>
    </row>
    <row r="5" customFormat="false" ht="15.75" hidden="false" customHeight="false" outlineLevel="0" collapsed="false">
      <c r="A5" s="43" t="s">
        <v>1083</v>
      </c>
      <c r="B5" s="43" t="s">
        <v>908</v>
      </c>
      <c r="C5" s="96" t="n">
        <v>0.01749832</v>
      </c>
      <c r="D5" s="7" t="n">
        <v>0.01749836</v>
      </c>
      <c r="E5" s="87" t="n">
        <f aca="false">D5-C5</f>
        <v>3.99999999997625E-008</v>
      </c>
      <c r="F5" s="51" t="s">
        <v>224</v>
      </c>
      <c r="G5" s="51" t="s">
        <v>890</v>
      </c>
      <c r="H5" s="88" t="s">
        <v>891</v>
      </c>
      <c r="I5" s="51" t="n">
        <v>0.01749832</v>
      </c>
      <c r="J5" s="51" t="s">
        <v>902</v>
      </c>
      <c r="K5" s="51" t="s">
        <v>1082</v>
      </c>
    </row>
    <row r="6" customFormat="false" ht="15.75" hidden="false" customHeight="false" outlineLevel="0" collapsed="false">
      <c r="A6" s="43" t="s">
        <v>1084</v>
      </c>
      <c r="B6" s="43" t="s">
        <v>908</v>
      </c>
      <c r="C6" s="96" t="n">
        <v>0.01621153</v>
      </c>
      <c r="D6" s="7" t="n">
        <v>0.0162116</v>
      </c>
      <c r="E6" s="87" t="n">
        <f aca="false">D6-C6</f>
        <v>7.0000000001319E-008</v>
      </c>
      <c r="F6" s="51" t="s">
        <v>224</v>
      </c>
      <c r="G6" s="51" t="s">
        <v>890</v>
      </c>
      <c r="H6" s="88" t="s">
        <v>891</v>
      </c>
      <c r="I6" s="51" t="n">
        <v>0.01621153</v>
      </c>
      <c r="J6" s="51" t="s">
        <v>902</v>
      </c>
      <c r="K6" s="51" t="s">
        <v>1082</v>
      </c>
    </row>
    <row r="7" customFormat="false" ht="15.75" hidden="false" customHeight="false" outlineLevel="0" collapsed="false">
      <c r="A7" s="43"/>
      <c r="B7" s="43"/>
      <c r="C7" s="96"/>
      <c r="D7" s="96"/>
      <c r="E7" s="87"/>
      <c r="H7" s="88"/>
    </row>
    <row r="8" customFormat="false" ht="15.75" hidden="false" customHeight="false" outlineLevel="0" collapsed="false">
      <c r="A8" s="98"/>
      <c r="B8" s="98"/>
      <c r="C8" s="96"/>
      <c r="D8" s="43"/>
      <c r="E8" s="87"/>
      <c r="H8" s="88"/>
    </row>
    <row r="9" customFormat="false" ht="15.75" hidden="false" customHeight="false" outlineLevel="0" collapsed="false">
      <c r="A9" s="98"/>
      <c r="B9" s="98"/>
      <c r="C9" s="96"/>
      <c r="D9" s="43"/>
      <c r="E9" s="87"/>
      <c r="H9" s="88"/>
    </row>
    <row r="10" customFormat="false" ht="15.75" hidden="false" customHeight="false" outlineLevel="0" collapsed="false">
      <c r="A10" s="98"/>
      <c r="B10" s="98"/>
      <c r="C10" s="96"/>
      <c r="D10" s="43"/>
      <c r="E10" s="87"/>
      <c r="H10" s="88"/>
    </row>
    <row r="11" customFormat="false" ht="15.75" hidden="false" customHeight="false" outlineLevel="0" collapsed="false">
      <c r="A11" s="98"/>
      <c r="B11" s="98"/>
      <c r="C11" s="96"/>
      <c r="D11" s="43"/>
      <c r="E11" s="87"/>
      <c r="H11" s="88"/>
    </row>
    <row r="12" customFormat="false" ht="15.75" hidden="false" customHeight="false" outlineLevel="0" collapsed="false">
      <c r="A12" s="43"/>
      <c r="B12" s="43"/>
      <c r="C12" s="96"/>
      <c r="D12" s="43"/>
      <c r="E12" s="87"/>
      <c r="H12" s="88"/>
    </row>
    <row r="13" customFormat="false" ht="15.75" hidden="false" customHeight="false" outlineLevel="0" collapsed="false">
      <c r="A13" s="43"/>
      <c r="B13" s="43"/>
      <c r="C13" s="96"/>
      <c r="D13" s="43"/>
      <c r="E13" s="87"/>
      <c r="H13" s="88"/>
    </row>
    <row r="14" customFormat="false" ht="15.75" hidden="false" customHeight="false" outlineLevel="0" collapsed="false">
      <c r="A14" s="43"/>
      <c r="B14" s="43"/>
      <c r="C14" s="96"/>
      <c r="E14" s="87"/>
      <c r="H14" s="88"/>
    </row>
    <row r="15" customFormat="false" ht="15.75" hidden="false" customHeight="false" outlineLevel="0" collapsed="false">
      <c r="A15" s="43"/>
      <c r="B15" s="43"/>
      <c r="C15" s="96"/>
      <c r="H15" s="88"/>
    </row>
    <row r="16" customFormat="false" ht="15.75" hidden="false" customHeight="false" outlineLevel="0" collapsed="false">
      <c r="A16" s="43"/>
      <c r="B16" s="43"/>
      <c r="C16" s="96"/>
      <c r="H16" s="88"/>
    </row>
    <row r="17" customFormat="false" ht="15.75" hidden="false" customHeight="false" outlineLevel="0" collapsed="false">
      <c r="A17" s="43"/>
      <c r="B17" s="43"/>
      <c r="C17" s="96"/>
      <c r="H17" s="88"/>
    </row>
    <row r="18" customFormat="false" ht="15.75" hidden="false" customHeight="false" outlineLevel="0" collapsed="false">
      <c r="A18" s="43"/>
      <c r="B18" s="43"/>
      <c r="C18" s="96"/>
      <c r="H18" s="88"/>
    </row>
    <row r="19" customFormat="false" ht="15.75" hidden="false" customHeight="false" outlineLevel="0" collapsed="false">
      <c r="A19" s="43"/>
      <c r="B19" s="43"/>
      <c r="C19" s="96"/>
      <c r="H19" s="88"/>
    </row>
    <row r="20" customFormat="false" ht="15.75" hidden="false" customHeight="false" outlineLevel="0" collapsed="false">
      <c r="A20" s="43"/>
      <c r="B20" s="43"/>
      <c r="C20" s="96"/>
      <c r="H20" s="88"/>
    </row>
    <row r="21" customFormat="false" ht="15.75" hidden="false" customHeight="false" outlineLevel="0" collapsed="false">
      <c r="A21" s="43"/>
      <c r="B21" s="43"/>
      <c r="C21" s="96"/>
      <c r="H21" s="88"/>
    </row>
    <row r="22" customFormat="false" ht="15.75" hidden="false" customHeight="false" outlineLevel="0" collapsed="false">
      <c r="A22" s="43"/>
      <c r="B22" s="43"/>
      <c r="C22" s="96"/>
      <c r="H22" s="88"/>
    </row>
    <row r="23" customFormat="false" ht="15.75" hidden="false" customHeight="false" outlineLevel="0" collapsed="false">
      <c r="A23" s="43"/>
      <c r="B23" s="43"/>
      <c r="C23" s="96"/>
      <c r="H23" s="88"/>
    </row>
    <row r="24" customFormat="false" ht="15.75" hidden="false" customHeight="false" outlineLevel="0" collapsed="false">
      <c r="A24" s="43"/>
      <c r="B24" s="43"/>
      <c r="C24" s="96"/>
      <c r="H24" s="88"/>
    </row>
    <row r="25" customFormat="false" ht="15.75" hidden="false" customHeight="false" outlineLevel="0" collapsed="false">
      <c r="A25" s="43"/>
      <c r="B25" s="43"/>
      <c r="C25" s="96"/>
      <c r="H25" s="88"/>
    </row>
    <row r="26" customFormat="false" ht="15.75" hidden="false" customHeight="false" outlineLevel="0" collapsed="false">
      <c r="A26" s="43"/>
      <c r="B26" s="43"/>
      <c r="C26" s="96"/>
      <c r="H26" s="88"/>
    </row>
    <row r="27" customFormat="false" ht="15.75" hidden="false" customHeight="false" outlineLevel="0" collapsed="false">
      <c r="A27" s="43"/>
      <c r="B27" s="43"/>
      <c r="C27" s="96"/>
      <c r="H27" s="88"/>
    </row>
    <row r="28" customFormat="false" ht="15.75" hidden="false" customHeight="false" outlineLevel="0" collapsed="false">
      <c r="A28" s="43"/>
      <c r="B28" s="43"/>
      <c r="C28" s="96"/>
      <c r="H28" s="88"/>
    </row>
    <row r="29" customFormat="false" ht="15.75" hidden="false" customHeight="false" outlineLevel="0" collapsed="false">
      <c r="H29" s="88"/>
    </row>
    <row r="30" customFormat="false" ht="15.75" hidden="false" customHeight="false" outlineLevel="0" collapsed="false">
      <c r="H30" s="88"/>
    </row>
    <row r="31" customFormat="false" ht="15.75" hidden="false" customHeight="false" outlineLevel="0" collapsed="false">
      <c r="H31" s="88"/>
    </row>
    <row r="32" customFormat="false" ht="15.75" hidden="false" customHeight="false" outlineLevel="0" collapsed="false">
      <c r="H32" s="88"/>
    </row>
    <row r="33" customFormat="false" ht="15.75" hidden="false" customHeight="false" outlineLevel="0" collapsed="false">
      <c r="A33" s="86"/>
      <c r="B33" s="86"/>
      <c r="C33" s="87"/>
      <c r="H33" s="88"/>
    </row>
    <row r="34" customFormat="false" ht="15.75" hidden="false" customHeight="false" outlineLevel="0" collapsed="false">
      <c r="A34" s="86"/>
      <c r="B34" s="86"/>
      <c r="C34" s="87"/>
      <c r="D34" s="87"/>
      <c r="E34" s="87"/>
      <c r="H34" s="88"/>
    </row>
    <row r="35" customFormat="false" ht="15.75" hidden="false" customHeight="false" outlineLevel="0" collapsed="false">
      <c r="A35" s="86"/>
      <c r="B35" s="86"/>
      <c r="C35" s="87"/>
      <c r="D35" s="89"/>
      <c r="E35" s="87"/>
      <c r="H35" s="88"/>
    </row>
    <row r="36" customFormat="false" ht="15.75" hidden="false" customHeight="false" outlineLevel="0" collapsed="false">
      <c r="A36" s="86"/>
      <c r="B36" s="86"/>
      <c r="C36" s="87"/>
      <c r="D36" s="89"/>
      <c r="E36" s="87"/>
      <c r="H36" s="88"/>
    </row>
    <row r="37" customFormat="false" ht="15.75" hidden="false" customHeight="false" outlineLevel="0" collapsed="false">
      <c r="A37" s="86"/>
      <c r="B37" s="86"/>
      <c r="C37" s="87"/>
      <c r="D37" s="89"/>
      <c r="E37" s="87"/>
      <c r="H37" s="88"/>
    </row>
    <row r="38" customFormat="false" ht="15.75" hidden="false" customHeight="false" outlineLevel="0" collapsed="false">
      <c r="A38" s="86"/>
      <c r="B38" s="86"/>
      <c r="C38" s="87"/>
      <c r="D38" s="87"/>
      <c r="E38" s="87"/>
      <c r="H38" s="88"/>
    </row>
    <row r="39" customFormat="false" ht="15.75" hidden="false" customHeight="false" outlineLevel="0" collapsed="false">
      <c r="A39" s="86"/>
      <c r="B39" s="86"/>
      <c r="C39" s="87"/>
      <c r="D39" s="87"/>
      <c r="E39" s="87"/>
      <c r="H39" s="88"/>
    </row>
    <row r="40" customFormat="false" ht="15.75" hidden="false" customHeight="false" outlineLevel="0" collapsed="false">
      <c r="A40" s="86"/>
      <c r="B40" s="86"/>
      <c r="C40" s="87"/>
      <c r="D40" s="89"/>
      <c r="E40" s="87"/>
      <c r="H40" s="88"/>
    </row>
    <row r="41" customFormat="false" ht="15.75" hidden="false" customHeight="false" outlineLevel="0" collapsed="false">
      <c r="A41" s="86"/>
      <c r="B41" s="86"/>
      <c r="C41" s="87"/>
      <c r="D41" s="89"/>
      <c r="E41" s="87"/>
      <c r="H41" s="88"/>
    </row>
    <row r="42" customFormat="false" ht="15.75" hidden="false" customHeight="false" outlineLevel="0" collapsed="false">
      <c r="A42" s="86"/>
      <c r="B42" s="86"/>
      <c r="C42" s="87"/>
      <c r="D42" s="89"/>
      <c r="E42" s="87"/>
      <c r="H42" s="88"/>
    </row>
    <row r="43" customFormat="false" ht="15.75" hidden="false" customHeight="false" outlineLevel="0" collapsed="false">
      <c r="A43" s="86"/>
      <c r="B43" s="86"/>
      <c r="C43" s="87"/>
      <c r="D43" s="89"/>
      <c r="E43" s="87"/>
      <c r="H43" s="88"/>
    </row>
    <row r="44" customFormat="false" ht="15.75" hidden="false" customHeight="false" outlineLevel="0" collapsed="false">
      <c r="A44" s="86"/>
      <c r="B44" s="86"/>
      <c r="C44" s="87"/>
      <c r="D44" s="100"/>
      <c r="E44" s="87"/>
      <c r="H44" s="88"/>
    </row>
    <row r="45" customFormat="false" ht="15.75" hidden="false" customHeight="false" outlineLevel="0" collapsed="false">
      <c r="A45" s="86"/>
      <c r="B45" s="86"/>
      <c r="C45" s="87"/>
      <c r="D45" s="100"/>
      <c r="E45" s="87"/>
      <c r="H45" s="88"/>
    </row>
    <row r="46" customFormat="false" ht="15.75" hidden="false" customHeight="false" outlineLevel="0" collapsed="false">
      <c r="A46" s="86"/>
      <c r="B46" s="86"/>
      <c r="C46" s="87"/>
      <c r="D46" s="89"/>
      <c r="E46" s="87"/>
      <c r="H46" s="88"/>
    </row>
    <row r="47" customFormat="false" ht="15.75" hidden="false" customHeight="false" outlineLevel="0" collapsed="false">
      <c r="A47" s="86"/>
      <c r="B47" s="86"/>
      <c r="C47" s="87"/>
      <c r="D47" s="89"/>
      <c r="E47" s="87"/>
      <c r="H47" s="88"/>
    </row>
    <row r="48" customFormat="false" ht="15.75" hidden="false" customHeight="false" outlineLevel="0" collapsed="false">
      <c r="A48" s="86"/>
      <c r="B48" s="86"/>
      <c r="C48" s="87"/>
      <c r="D48" s="87"/>
      <c r="E48" s="87"/>
      <c r="H48" s="88"/>
    </row>
    <row r="49" customFormat="false" ht="15.75" hidden="false" customHeight="false" outlineLevel="0" collapsed="false">
      <c r="A49" s="86"/>
      <c r="B49" s="86"/>
      <c r="C49" s="87"/>
      <c r="D49" s="87"/>
      <c r="E49" s="87"/>
      <c r="H49" s="88"/>
    </row>
    <row r="50" customFormat="false" ht="15.75" hidden="false" customHeight="false" outlineLevel="0" collapsed="false">
      <c r="A50" s="86"/>
      <c r="B50" s="86"/>
      <c r="C50" s="87"/>
      <c r="D50" s="89"/>
      <c r="E50" s="87"/>
      <c r="H50" s="88"/>
    </row>
    <row r="51" customFormat="false" ht="15.75" hidden="false" customHeight="false" outlineLevel="0" collapsed="false">
      <c r="A51" s="86"/>
      <c r="B51" s="86"/>
      <c r="C51" s="87"/>
      <c r="D51" s="100"/>
      <c r="E51" s="87"/>
      <c r="H51" s="88"/>
    </row>
    <row r="52" customFormat="false" ht="15.75" hidden="false" customHeight="false" outlineLevel="0" collapsed="false">
      <c r="A52" s="86"/>
      <c r="B52" s="86"/>
      <c r="C52" s="87"/>
      <c r="D52" s="100"/>
      <c r="E52" s="87"/>
      <c r="H52" s="88"/>
    </row>
    <row r="53" customFormat="false" ht="15.75" hidden="false" customHeight="false" outlineLevel="0" collapsed="false">
      <c r="A53" s="86"/>
      <c r="B53" s="86"/>
      <c r="C53" s="87"/>
      <c r="D53" s="100"/>
      <c r="E53" s="87"/>
      <c r="H53" s="88"/>
    </row>
    <row r="54" customFormat="false" ht="15.75" hidden="false" customHeight="false" outlineLevel="0" collapsed="false">
      <c r="A54" s="86"/>
      <c r="B54" s="86"/>
      <c r="C54" s="87"/>
      <c r="D54" s="100"/>
      <c r="E54" s="87"/>
      <c r="H54" s="88"/>
    </row>
    <row r="55" customFormat="false" ht="15.75" hidden="false" customHeight="false" outlineLevel="0" collapsed="false">
      <c r="A55" s="86"/>
      <c r="B55" s="86"/>
      <c r="C55" s="87"/>
      <c r="D55" s="100"/>
      <c r="E55" s="87"/>
      <c r="H55" s="88"/>
    </row>
    <row r="56" customFormat="false" ht="15.75" hidden="false" customHeight="false" outlineLevel="0" collapsed="false">
      <c r="A56" s="86"/>
      <c r="B56" s="86"/>
      <c r="C56" s="87"/>
      <c r="D56" s="87"/>
      <c r="E56" s="87"/>
      <c r="H56" s="88"/>
    </row>
    <row r="57" customFormat="false" ht="15.75" hidden="false" customHeight="false" outlineLevel="0" collapsed="false">
      <c r="A57" s="86"/>
      <c r="B57" s="86"/>
      <c r="C57" s="87"/>
      <c r="D57" s="87"/>
      <c r="E57" s="87"/>
      <c r="H57" s="88"/>
    </row>
    <row r="58" customFormat="false" ht="15.75" hidden="false" customHeight="false" outlineLevel="0" collapsed="false">
      <c r="A58" s="86"/>
      <c r="B58" s="86"/>
      <c r="C58" s="87"/>
      <c r="D58" s="89"/>
      <c r="E58" s="87"/>
      <c r="H58" s="88"/>
    </row>
    <row r="59" customFormat="false" ht="15.75" hidden="false" customHeight="false" outlineLevel="0" collapsed="false">
      <c r="A59" s="86"/>
      <c r="B59" s="86"/>
      <c r="C59" s="87"/>
      <c r="D59" s="87"/>
      <c r="E59" s="87"/>
      <c r="H59" s="88"/>
    </row>
    <row r="60" customFormat="false" ht="15.75" hidden="false" customHeight="false" outlineLevel="0" collapsed="false">
      <c r="A60" s="86"/>
      <c r="B60" s="86"/>
      <c r="C60" s="87"/>
      <c r="D60" s="87"/>
      <c r="E60" s="87"/>
      <c r="H60" s="88"/>
    </row>
    <row r="61" customFormat="false" ht="15.75" hidden="false" customHeight="false" outlineLevel="0" collapsed="false">
      <c r="A61" s="86"/>
      <c r="B61" s="86"/>
      <c r="C61" s="87"/>
      <c r="D61" s="87"/>
      <c r="E61" s="87"/>
      <c r="H61" s="88"/>
    </row>
    <row r="62" customFormat="false" ht="15.75" hidden="false" customHeight="false" outlineLevel="0" collapsed="false">
      <c r="A62" s="86"/>
      <c r="B62" s="86"/>
      <c r="C62" s="87"/>
      <c r="D62" s="100"/>
      <c r="E62" s="87"/>
      <c r="H62" s="88"/>
    </row>
    <row r="63" customFormat="false" ht="15.75" hidden="false" customHeight="false" outlineLevel="0" collapsed="false">
      <c r="A63" s="86"/>
      <c r="B63" s="86"/>
      <c r="C63" s="87"/>
      <c r="D63" s="87"/>
      <c r="E63" s="87"/>
      <c r="H63" s="88"/>
    </row>
    <row r="64" customFormat="false" ht="15.75" hidden="false" customHeight="false" outlineLevel="0" collapsed="false">
      <c r="A64" s="86"/>
      <c r="B64" s="86"/>
      <c r="C64" s="87"/>
      <c r="D64" s="87"/>
      <c r="E64" s="87"/>
      <c r="H64" s="88"/>
    </row>
    <row r="65" customFormat="false" ht="15.75" hidden="false" customHeight="false" outlineLevel="0" collapsed="false">
      <c r="A65" s="86"/>
      <c r="B65" s="86"/>
      <c r="C65" s="87"/>
      <c r="D65" s="87"/>
      <c r="E65" s="87"/>
      <c r="H65" s="88"/>
    </row>
    <row r="66" customFormat="false" ht="15.75" hidden="false" customHeight="false" outlineLevel="0" collapsed="false">
      <c r="A66" s="86"/>
      <c r="B66" s="86"/>
      <c r="C66" s="87"/>
      <c r="D66" s="87"/>
      <c r="E66" s="87"/>
      <c r="H66" s="88"/>
    </row>
    <row r="67" customFormat="false" ht="15.75" hidden="false" customHeight="false" outlineLevel="0" collapsed="false">
      <c r="A67" s="86"/>
      <c r="B67" s="86"/>
      <c r="C67" s="87"/>
      <c r="D67" s="87"/>
      <c r="E67" s="87"/>
      <c r="H67" s="88"/>
    </row>
    <row r="68" customFormat="false" ht="15.75" hidden="false" customHeight="false" outlineLevel="0" collapsed="false">
      <c r="A68" s="86"/>
      <c r="B68" s="86"/>
      <c r="C68" s="87"/>
      <c r="D68" s="87"/>
      <c r="E68" s="87"/>
      <c r="H68" s="88"/>
    </row>
    <row r="69" customFormat="false" ht="15.75" hidden="false" customHeight="false" outlineLevel="0" collapsed="false">
      <c r="A69" s="86"/>
      <c r="B69" s="86"/>
      <c r="C69" s="87"/>
      <c r="D69" s="89"/>
      <c r="E69" s="87"/>
      <c r="H69" s="88"/>
    </row>
    <row r="70" customFormat="false" ht="15.75" hidden="false" customHeight="false" outlineLevel="0" collapsed="false">
      <c r="A70" s="86"/>
      <c r="B70" s="86"/>
      <c r="C70" s="87"/>
      <c r="D70" s="87"/>
      <c r="E70" s="87"/>
      <c r="H70" s="88"/>
    </row>
    <row r="71" customFormat="false" ht="15.75" hidden="false" customHeight="false" outlineLevel="0" collapsed="false">
      <c r="A71" s="86"/>
      <c r="B71" s="86"/>
      <c r="C71" s="87"/>
      <c r="D71" s="87"/>
      <c r="E71" s="87"/>
      <c r="H71" s="88"/>
    </row>
    <row r="72" customFormat="false" ht="15.75" hidden="false" customHeight="false" outlineLevel="0" collapsed="false">
      <c r="A72" s="86"/>
      <c r="B72" s="86"/>
      <c r="C72" s="87"/>
      <c r="D72" s="100"/>
      <c r="E72" s="87"/>
      <c r="H72" s="88"/>
    </row>
    <row r="73" customFormat="false" ht="15.75" hidden="false" customHeight="false" outlineLevel="0" collapsed="false">
      <c r="A73" s="86"/>
      <c r="B73" s="86"/>
      <c r="C73" s="87"/>
      <c r="D73" s="87"/>
      <c r="E73" s="87"/>
      <c r="H73" s="88"/>
    </row>
    <row r="74" customFormat="false" ht="15.75" hidden="false" customHeight="false" outlineLevel="0" collapsed="false">
      <c r="A74" s="86"/>
      <c r="B74" s="86"/>
      <c r="C74" s="87"/>
      <c r="D74" s="89"/>
      <c r="E74" s="87"/>
      <c r="H74" s="88"/>
    </row>
    <row r="75" customFormat="false" ht="15.75" hidden="false" customHeight="false" outlineLevel="0" collapsed="false">
      <c r="A75" s="86"/>
      <c r="B75" s="86"/>
      <c r="C75" s="87"/>
      <c r="D75" s="100"/>
      <c r="E75" s="87"/>
      <c r="H75" s="88"/>
    </row>
    <row r="76" customFormat="false" ht="15.75" hidden="false" customHeight="false" outlineLevel="0" collapsed="false">
      <c r="A76" s="86"/>
      <c r="B76" s="86"/>
      <c r="C76" s="87"/>
      <c r="D76" s="89"/>
      <c r="E76" s="87"/>
      <c r="H76" s="88"/>
    </row>
    <row r="77" customFormat="false" ht="15.75" hidden="false" customHeight="false" outlineLevel="0" collapsed="false">
      <c r="A77" s="86"/>
      <c r="B77" s="86"/>
      <c r="C77" s="87"/>
      <c r="D77" s="89"/>
      <c r="E77" s="87"/>
      <c r="H77" s="88"/>
    </row>
    <row r="78" customFormat="false" ht="15.75" hidden="false" customHeight="false" outlineLevel="0" collapsed="false">
      <c r="A78" s="86"/>
      <c r="B78" s="86"/>
      <c r="C78" s="87"/>
      <c r="D78" s="89"/>
      <c r="E78" s="87"/>
      <c r="H78" s="88"/>
    </row>
    <row r="79" customFormat="false" ht="15.75" hidden="false" customHeight="false" outlineLevel="0" collapsed="false">
      <c r="A79" s="86"/>
      <c r="B79" s="86"/>
      <c r="C79" s="87"/>
      <c r="D79" s="87"/>
      <c r="E79" s="87"/>
      <c r="H79" s="88"/>
    </row>
  </sheetData>
  <autoFilter ref="A1:G1000"/>
  <dataValidations count="3">
    <dataValidation allowBlank="true" errorStyle="stop" operator="between" showDropDown="false" showErrorMessage="true" showInputMessage="false" sqref="H2:H6" type="list">
      <formula1>"Juros e PU batem ,Principal e PU batem ,PU não bate ,Juros não bate,Principal não bate"</formula1>
      <formula2>0</formula2>
    </dataValidation>
    <dataValidation allowBlank="true" errorStyle="stop" operator="between" showDropDown="false" showErrorMessage="true" showInputMessage="false" sqref="J2:J6" type="list">
      <formula1>"Bate,Não bate,Escolher "</formula1>
      <formula2>0</formula2>
    </dataValidation>
    <dataValidation allowBlank="true" errorStyle="stop" operator="between" showDropDown="false" showErrorMessage="true" showInputMessage="false" sqref="G2:G6" type="list">
      <formula1>"Feito,Revisar,Pendente,Não Iniciado,Em Andamento"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75"/>
    <col collapsed="false" customWidth="true" hidden="false" outlineLevel="0" max="6" min="6" style="0" width="27.38"/>
    <col collapsed="false" customWidth="true" hidden="false" outlineLevel="0" max="7" min="7" style="0" width="15.13"/>
    <col collapsed="false" customWidth="true" hidden="false" outlineLevel="0" max="8" min="8" style="0" width="19.63"/>
    <col collapsed="false" customWidth="true" hidden="false" outlineLevel="0" max="12" min="12" style="0" width="159.25"/>
  </cols>
  <sheetData>
    <row r="1" customFormat="false" ht="15.75" hidden="false" customHeight="false" outlineLevel="0" collapsed="false">
      <c r="A1" s="85" t="s">
        <v>859</v>
      </c>
      <c r="B1" s="85" t="s">
        <v>860</v>
      </c>
      <c r="C1" s="85" t="s">
        <v>861</v>
      </c>
      <c r="D1" s="85" t="s">
        <v>862</v>
      </c>
      <c r="E1" s="85" t="s">
        <v>863</v>
      </c>
      <c r="F1" s="85" t="s">
        <v>864</v>
      </c>
      <c r="G1" s="85" t="s">
        <v>866</v>
      </c>
      <c r="H1" s="51" t="s">
        <v>867</v>
      </c>
      <c r="I1" s="51" t="s">
        <v>868</v>
      </c>
      <c r="J1" s="51" t="s">
        <v>999</v>
      </c>
      <c r="K1" s="51" t="s">
        <v>10</v>
      </c>
      <c r="L1" s="51" t="s">
        <v>871</v>
      </c>
    </row>
    <row r="2" customFormat="false" ht="15.75" hidden="false" customHeight="false" outlineLevel="0" collapsed="false">
      <c r="A2" s="43" t="s">
        <v>715</v>
      </c>
      <c r="B2" s="43" t="s">
        <v>873</v>
      </c>
      <c r="C2" s="96" t="n">
        <v>1071.930322</v>
      </c>
      <c r="D2" s="104" t="n">
        <v>1080.9056</v>
      </c>
      <c r="E2" s="105" t="n">
        <f aca="false">D2-C2</f>
        <v>8.97527800000012</v>
      </c>
      <c r="F2" s="51" t="s">
        <v>954</v>
      </c>
      <c r="G2" s="51" t="s">
        <v>1017</v>
      </c>
      <c r="H2" s="88"/>
      <c r="I2" s="51" t="n">
        <v>1071.930322</v>
      </c>
      <c r="J2" s="51" t="s">
        <v>902</v>
      </c>
      <c r="L2" s="51" t="s">
        <v>875</v>
      </c>
    </row>
    <row r="3" customFormat="false" ht="15.75" hidden="false" customHeight="false" outlineLevel="0" collapsed="false">
      <c r="A3" s="43" t="s">
        <v>715</v>
      </c>
      <c r="B3" s="43" t="s">
        <v>876</v>
      </c>
      <c r="C3" s="96" t="n">
        <v>2637.16577</v>
      </c>
      <c r="D3" s="104" t="n">
        <v>2659.2467</v>
      </c>
      <c r="E3" s="105" t="n">
        <f aca="false">D3-C3</f>
        <v>22.0809300000001</v>
      </c>
      <c r="F3" s="51" t="s">
        <v>954</v>
      </c>
      <c r="G3" s="51" t="s">
        <v>1017</v>
      </c>
      <c r="H3" s="88"/>
      <c r="I3" s="51" t="n">
        <v>2637.16577</v>
      </c>
      <c r="J3" s="51" t="s">
        <v>902</v>
      </c>
    </row>
    <row r="4" customFormat="false" ht="15.75" hidden="false" customHeight="false" outlineLevel="0" collapsed="false">
      <c r="A4" s="43" t="s">
        <v>700</v>
      </c>
      <c r="B4" s="43" t="s">
        <v>873</v>
      </c>
      <c r="C4" s="96" t="n">
        <v>0.56401936</v>
      </c>
      <c r="D4" s="7" t="n">
        <v>0.5665</v>
      </c>
      <c r="E4" s="87" t="n">
        <f aca="false">D4-C4</f>
        <v>0.00248064000000003</v>
      </c>
      <c r="G4" s="51" t="s">
        <v>943</v>
      </c>
      <c r="H4" s="88"/>
      <c r="J4" s="51" t="s">
        <v>915</v>
      </c>
      <c r="L4" s="51" t="s">
        <v>882</v>
      </c>
    </row>
    <row r="5" customFormat="false" ht="15.75" hidden="false" customHeight="false" outlineLevel="0" collapsed="false">
      <c r="A5" s="43" t="s">
        <v>700</v>
      </c>
      <c r="B5" s="43" t="s">
        <v>876</v>
      </c>
      <c r="C5" s="96" t="n">
        <v>3.30354039</v>
      </c>
      <c r="D5" s="7" t="n">
        <v>3.3907</v>
      </c>
      <c r="E5" s="87" t="n">
        <f aca="false">D5-C5</f>
        <v>0.0871596099999996</v>
      </c>
      <c r="G5" s="51" t="s">
        <v>943</v>
      </c>
      <c r="H5" s="88"/>
      <c r="J5" s="51" t="s">
        <v>915</v>
      </c>
    </row>
    <row r="6" customFormat="false" ht="15.75" hidden="false" customHeight="false" outlineLevel="0" collapsed="false">
      <c r="A6" s="43" t="s">
        <v>1085</v>
      </c>
      <c r="B6" s="43" t="s">
        <v>873</v>
      </c>
      <c r="C6" s="96" t="n">
        <v>7.81107797</v>
      </c>
      <c r="D6" s="7" t="n">
        <v>7.8193</v>
      </c>
      <c r="E6" s="87" t="n">
        <f aca="false">D6-C6</f>
        <v>0.00822202999999977</v>
      </c>
      <c r="G6" s="51" t="s">
        <v>943</v>
      </c>
      <c r="H6" s="88"/>
      <c r="J6" s="51" t="s">
        <v>915</v>
      </c>
    </row>
    <row r="7" customFormat="false" ht="15.75" hidden="false" customHeight="false" outlineLevel="0" collapsed="false">
      <c r="A7" s="43" t="s">
        <v>1085</v>
      </c>
      <c r="B7" s="43" t="s">
        <v>876</v>
      </c>
      <c r="C7" s="96" t="n">
        <v>8.8141858</v>
      </c>
      <c r="D7" s="7" t="n">
        <v>8.8234</v>
      </c>
      <c r="E7" s="87" t="n">
        <f aca="false">D7-C7</f>
        <v>0.00921419999999884</v>
      </c>
      <c r="G7" s="51" t="s">
        <v>943</v>
      </c>
      <c r="H7" s="88"/>
      <c r="J7" s="51" t="s">
        <v>915</v>
      </c>
    </row>
    <row r="8" customFormat="false" ht="15.75" hidden="false" customHeight="false" outlineLevel="0" collapsed="false">
      <c r="A8" s="43" t="s">
        <v>1086</v>
      </c>
      <c r="B8" s="43" t="s">
        <v>883</v>
      </c>
      <c r="C8" s="96" t="n">
        <v>1.65292656</v>
      </c>
      <c r="D8" s="43"/>
      <c r="E8" s="87" t="n">
        <f aca="false">D8-C8</f>
        <v>-1.65292656</v>
      </c>
      <c r="G8" s="51" t="s">
        <v>943</v>
      </c>
      <c r="H8" s="88"/>
      <c r="J8" s="51" t="s">
        <v>915</v>
      </c>
    </row>
    <row r="9" customFormat="false" ht="15.75" hidden="false" customHeight="false" outlineLevel="0" collapsed="false">
      <c r="A9" s="43" t="s">
        <v>1087</v>
      </c>
      <c r="B9" s="43" t="s">
        <v>908</v>
      </c>
      <c r="C9" s="96" t="n">
        <v>13.41755717</v>
      </c>
      <c r="D9" s="7" t="n">
        <v>13.0198</v>
      </c>
      <c r="E9" s="87" t="n">
        <f aca="false">D9-C9</f>
        <v>-0.39775717</v>
      </c>
      <c r="G9" s="51" t="s">
        <v>943</v>
      </c>
      <c r="H9" s="88"/>
      <c r="J9" s="51" t="s">
        <v>915</v>
      </c>
    </row>
    <row r="10" customFormat="false" ht="15.75" hidden="false" customHeight="false" outlineLevel="0" collapsed="false">
      <c r="A10" s="98"/>
      <c r="B10" s="98"/>
      <c r="C10" s="96"/>
      <c r="D10" s="43"/>
      <c r="E10" s="87"/>
      <c r="H10" s="88"/>
    </row>
    <row r="11" customFormat="false" ht="15.75" hidden="false" customHeight="false" outlineLevel="0" collapsed="false">
      <c r="A11" s="98"/>
      <c r="B11" s="98"/>
      <c r="C11" s="96"/>
      <c r="D11" s="43"/>
      <c r="E11" s="87"/>
      <c r="H11" s="88"/>
    </row>
    <row r="12" customFormat="false" ht="15.75" hidden="false" customHeight="false" outlineLevel="0" collapsed="false">
      <c r="A12" s="43"/>
      <c r="B12" s="43"/>
      <c r="C12" s="96"/>
      <c r="D12" s="43"/>
      <c r="E12" s="87"/>
      <c r="H12" s="88"/>
    </row>
    <row r="13" customFormat="false" ht="15.75" hidden="false" customHeight="false" outlineLevel="0" collapsed="false">
      <c r="A13" s="43"/>
      <c r="B13" s="43"/>
      <c r="C13" s="96"/>
      <c r="D13" s="43"/>
      <c r="E13" s="87"/>
      <c r="H13" s="88"/>
    </row>
    <row r="14" customFormat="false" ht="15.75" hidden="false" customHeight="false" outlineLevel="0" collapsed="false">
      <c r="A14" s="43"/>
      <c r="B14" s="43"/>
      <c r="C14" s="96"/>
      <c r="E14" s="87"/>
      <c r="H14" s="88"/>
    </row>
    <row r="15" customFormat="false" ht="15.75" hidden="false" customHeight="false" outlineLevel="0" collapsed="false">
      <c r="A15" s="43"/>
      <c r="B15" s="43"/>
      <c r="C15" s="96"/>
      <c r="H15" s="88"/>
    </row>
    <row r="16" customFormat="false" ht="15.75" hidden="false" customHeight="false" outlineLevel="0" collapsed="false">
      <c r="A16" s="43"/>
      <c r="B16" s="43"/>
      <c r="C16" s="96"/>
      <c r="H16" s="88"/>
    </row>
    <row r="17" customFormat="false" ht="15.75" hidden="false" customHeight="false" outlineLevel="0" collapsed="false">
      <c r="A17" s="43"/>
      <c r="B17" s="43"/>
      <c r="C17" s="96"/>
      <c r="H17" s="88"/>
    </row>
    <row r="18" customFormat="false" ht="15.75" hidden="false" customHeight="false" outlineLevel="0" collapsed="false">
      <c r="A18" s="43"/>
      <c r="B18" s="43"/>
      <c r="C18" s="96"/>
      <c r="H18" s="88"/>
    </row>
    <row r="19" customFormat="false" ht="15.75" hidden="false" customHeight="false" outlineLevel="0" collapsed="false">
      <c r="A19" s="43"/>
      <c r="B19" s="43"/>
      <c r="C19" s="96"/>
      <c r="H19" s="88"/>
    </row>
    <row r="20" customFormat="false" ht="15.75" hidden="false" customHeight="false" outlineLevel="0" collapsed="false">
      <c r="A20" s="43"/>
      <c r="B20" s="43"/>
      <c r="C20" s="96"/>
      <c r="H20" s="88"/>
    </row>
    <row r="21" customFormat="false" ht="15.75" hidden="false" customHeight="false" outlineLevel="0" collapsed="false">
      <c r="A21" s="43"/>
      <c r="B21" s="43"/>
      <c r="C21" s="96"/>
      <c r="H21" s="88"/>
    </row>
    <row r="22" customFormat="false" ht="15.75" hidden="false" customHeight="false" outlineLevel="0" collapsed="false">
      <c r="A22" s="43"/>
      <c r="B22" s="43"/>
      <c r="C22" s="96"/>
      <c r="H22" s="88"/>
    </row>
    <row r="23" customFormat="false" ht="15.75" hidden="false" customHeight="false" outlineLevel="0" collapsed="false">
      <c r="A23" s="43"/>
      <c r="B23" s="43"/>
      <c r="C23" s="96"/>
      <c r="H23" s="88"/>
    </row>
    <row r="24" customFormat="false" ht="15.75" hidden="false" customHeight="false" outlineLevel="0" collapsed="false">
      <c r="A24" s="43"/>
      <c r="B24" s="43"/>
      <c r="C24" s="96"/>
      <c r="H24" s="88"/>
    </row>
    <row r="25" customFormat="false" ht="15.75" hidden="false" customHeight="false" outlineLevel="0" collapsed="false">
      <c r="A25" s="43"/>
      <c r="B25" s="43"/>
      <c r="C25" s="96"/>
      <c r="H25" s="88"/>
    </row>
    <row r="26" customFormat="false" ht="15.75" hidden="false" customHeight="false" outlineLevel="0" collapsed="false">
      <c r="A26" s="43"/>
      <c r="B26" s="43"/>
      <c r="C26" s="96"/>
      <c r="H26" s="88"/>
    </row>
    <row r="27" customFormat="false" ht="15.75" hidden="false" customHeight="false" outlineLevel="0" collapsed="false">
      <c r="A27" s="43"/>
      <c r="B27" s="43"/>
      <c r="C27" s="96"/>
      <c r="H27" s="88"/>
    </row>
    <row r="28" customFormat="false" ht="15.75" hidden="false" customHeight="false" outlineLevel="0" collapsed="false">
      <c r="A28" s="43"/>
      <c r="B28" s="43"/>
      <c r="C28" s="96"/>
      <c r="H28" s="88"/>
    </row>
    <row r="29" customFormat="false" ht="15.75" hidden="false" customHeight="false" outlineLevel="0" collapsed="false">
      <c r="H29" s="88"/>
    </row>
    <row r="30" customFormat="false" ht="15.75" hidden="false" customHeight="false" outlineLevel="0" collapsed="false">
      <c r="H30" s="88"/>
    </row>
    <row r="31" customFormat="false" ht="15.75" hidden="false" customHeight="false" outlineLevel="0" collapsed="false">
      <c r="H31" s="88"/>
    </row>
    <row r="32" customFormat="false" ht="15.75" hidden="false" customHeight="false" outlineLevel="0" collapsed="false">
      <c r="H32" s="88"/>
    </row>
    <row r="33" customFormat="false" ht="15.75" hidden="false" customHeight="false" outlineLevel="0" collapsed="false">
      <c r="A33" s="86"/>
      <c r="B33" s="86"/>
      <c r="C33" s="87"/>
      <c r="H33" s="88"/>
    </row>
    <row r="34" customFormat="false" ht="15.75" hidden="false" customHeight="false" outlineLevel="0" collapsed="false">
      <c r="A34" s="86"/>
      <c r="B34" s="86"/>
      <c r="C34" s="87"/>
      <c r="D34" s="87"/>
      <c r="E34" s="87"/>
      <c r="H34" s="88"/>
    </row>
    <row r="35" customFormat="false" ht="15.75" hidden="false" customHeight="false" outlineLevel="0" collapsed="false">
      <c r="A35" s="86"/>
      <c r="B35" s="86"/>
      <c r="C35" s="87"/>
      <c r="D35" s="89"/>
      <c r="E35" s="87"/>
      <c r="H35" s="88"/>
    </row>
    <row r="36" customFormat="false" ht="15.75" hidden="false" customHeight="false" outlineLevel="0" collapsed="false">
      <c r="A36" s="86"/>
      <c r="B36" s="86"/>
      <c r="C36" s="87"/>
      <c r="D36" s="89"/>
      <c r="E36" s="87"/>
      <c r="H36" s="88"/>
    </row>
    <row r="37" customFormat="false" ht="15.75" hidden="false" customHeight="false" outlineLevel="0" collapsed="false">
      <c r="A37" s="86"/>
      <c r="B37" s="86"/>
      <c r="C37" s="87"/>
      <c r="D37" s="89"/>
      <c r="E37" s="87"/>
      <c r="H37" s="88"/>
    </row>
    <row r="38" customFormat="false" ht="15.75" hidden="false" customHeight="false" outlineLevel="0" collapsed="false">
      <c r="A38" s="86"/>
      <c r="B38" s="86"/>
      <c r="C38" s="87"/>
      <c r="D38" s="87"/>
      <c r="E38" s="87"/>
      <c r="H38" s="88"/>
    </row>
    <row r="39" customFormat="false" ht="15.75" hidden="false" customHeight="false" outlineLevel="0" collapsed="false">
      <c r="A39" s="86"/>
      <c r="B39" s="86"/>
      <c r="C39" s="87"/>
      <c r="D39" s="87"/>
      <c r="E39" s="87"/>
      <c r="H39" s="88"/>
    </row>
    <row r="40" customFormat="false" ht="15.75" hidden="false" customHeight="false" outlineLevel="0" collapsed="false">
      <c r="A40" s="86"/>
      <c r="B40" s="86"/>
      <c r="C40" s="87"/>
      <c r="D40" s="89"/>
      <c r="E40" s="87"/>
      <c r="H40" s="88"/>
    </row>
    <row r="41" customFormat="false" ht="15.75" hidden="false" customHeight="false" outlineLevel="0" collapsed="false">
      <c r="A41" s="86"/>
      <c r="B41" s="86"/>
      <c r="C41" s="87"/>
      <c r="D41" s="89"/>
      <c r="E41" s="87"/>
      <c r="H41" s="88"/>
    </row>
    <row r="42" customFormat="false" ht="15.75" hidden="false" customHeight="false" outlineLevel="0" collapsed="false">
      <c r="A42" s="86"/>
      <c r="B42" s="86"/>
      <c r="C42" s="87"/>
      <c r="D42" s="89"/>
      <c r="E42" s="87"/>
      <c r="H42" s="88"/>
    </row>
    <row r="43" customFormat="false" ht="15.75" hidden="false" customHeight="false" outlineLevel="0" collapsed="false">
      <c r="A43" s="86"/>
      <c r="B43" s="86"/>
      <c r="C43" s="87"/>
      <c r="D43" s="89"/>
      <c r="E43" s="87"/>
      <c r="H43" s="88"/>
    </row>
    <row r="44" customFormat="false" ht="15.75" hidden="false" customHeight="false" outlineLevel="0" collapsed="false">
      <c r="A44" s="86"/>
      <c r="B44" s="86"/>
      <c r="C44" s="87"/>
      <c r="D44" s="100"/>
      <c r="E44" s="87"/>
      <c r="H44" s="88"/>
    </row>
    <row r="45" customFormat="false" ht="15.75" hidden="false" customHeight="false" outlineLevel="0" collapsed="false">
      <c r="A45" s="86"/>
      <c r="B45" s="86"/>
      <c r="C45" s="87"/>
      <c r="D45" s="100"/>
      <c r="E45" s="87"/>
      <c r="H45" s="88"/>
    </row>
    <row r="46" customFormat="false" ht="15.75" hidden="false" customHeight="false" outlineLevel="0" collapsed="false">
      <c r="A46" s="86"/>
      <c r="B46" s="86"/>
      <c r="C46" s="87"/>
      <c r="D46" s="89"/>
      <c r="E46" s="87"/>
      <c r="H46" s="88"/>
    </row>
    <row r="47" customFormat="false" ht="15.75" hidden="false" customHeight="false" outlineLevel="0" collapsed="false">
      <c r="A47" s="86"/>
      <c r="B47" s="86"/>
      <c r="C47" s="87"/>
      <c r="D47" s="89"/>
      <c r="E47" s="87"/>
      <c r="H47" s="88"/>
    </row>
    <row r="48" customFormat="false" ht="15.75" hidden="false" customHeight="false" outlineLevel="0" collapsed="false">
      <c r="A48" s="86"/>
      <c r="B48" s="86"/>
      <c r="C48" s="87"/>
      <c r="D48" s="87"/>
      <c r="E48" s="87"/>
      <c r="H48" s="88"/>
    </row>
    <row r="49" customFormat="false" ht="15.75" hidden="false" customHeight="false" outlineLevel="0" collapsed="false">
      <c r="A49" s="86"/>
      <c r="B49" s="86"/>
      <c r="C49" s="87"/>
      <c r="D49" s="87"/>
      <c r="E49" s="87"/>
      <c r="H49" s="88"/>
    </row>
    <row r="50" customFormat="false" ht="15.75" hidden="false" customHeight="false" outlineLevel="0" collapsed="false">
      <c r="A50" s="86"/>
      <c r="B50" s="86"/>
      <c r="C50" s="87"/>
      <c r="D50" s="89"/>
      <c r="E50" s="87"/>
      <c r="H50" s="88"/>
    </row>
    <row r="51" customFormat="false" ht="15.75" hidden="false" customHeight="false" outlineLevel="0" collapsed="false">
      <c r="A51" s="86"/>
      <c r="B51" s="86"/>
      <c r="C51" s="87"/>
      <c r="D51" s="100"/>
      <c r="E51" s="87"/>
      <c r="H51" s="88"/>
    </row>
    <row r="52" customFormat="false" ht="15.75" hidden="false" customHeight="false" outlineLevel="0" collapsed="false">
      <c r="A52" s="86"/>
      <c r="B52" s="86"/>
      <c r="C52" s="87"/>
      <c r="D52" s="100"/>
      <c r="E52" s="87"/>
      <c r="H52" s="88"/>
    </row>
    <row r="53" customFormat="false" ht="15.75" hidden="false" customHeight="false" outlineLevel="0" collapsed="false">
      <c r="A53" s="86"/>
      <c r="B53" s="86"/>
      <c r="C53" s="87"/>
      <c r="D53" s="100"/>
      <c r="E53" s="87"/>
      <c r="H53" s="88"/>
    </row>
    <row r="54" customFormat="false" ht="15.75" hidden="false" customHeight="false" outlineLevel="0" collapsed="false">
      <c r="A54" s="86"/>
      <c r="B54" s="86"/>
      <c r="C54" s="87"/>
      <c r="D54" s="100"/>
      <c r="E54" s="87"/>
      <c r="H54" s="88"/>
    </row>
    <row r="55" customFormat="false" ht="15.75" hidden="false" customHeight="false" outlineLevel="0" collapsed="false">
      <c r="A55" s="86"/>
      <c r="B55" s="86"/>
      <c r="C55" s="87"/>
      <c r="D55" s="100"/>
      <c r="E55" s="87"/>
      <c r="H55" s="88"/>
    </row>
    <row r="56" customFormat="false" ht="15.75" hidden="false" customHeight="false" outlineLevel="0" collapsed="false">
      <c r="A56" s="86"/>
      <c r="B56" s="86"/>
      <c r="C56" s="87"/>
      <c r="D56" s="87"/>
      <c r="E56" s="87"/>
      <c r="H56" s="88"/>
    </row>
    <row r="57" customFormat="false" ht="15.75" hidden="false" customHeight="false" outlineLevel="0" collapsed="false">
      <c r="A57" s="86"/>
      <c r="B57" s="86"/>
      <c r="C57" s="87"/>
      <c r="D57" s="87"/>
      <c r="E57" s="87"/>
      <c r="H57" s="88"/>
    </row>
    <row r="58" customFormat="false" ht="15.75" hidden="false" customHeight="false" outlineLevel="0" collapsed="false">
      <c r="A58" s="86"/>
      <c r="B58" s="86"/>
      <c r="C58" s="87"/>
      <c r="D58" s="89"/>
      <c r="E58" s="87"/>
      <c r="H58" s="88"/>
    </row>
    <row r="59" customFormat="false" ht="15.75" hidden="false" customHeight="false" outlineLevel="0" collapsed="false">
      <c r="A59" s="86"/>
      <c r="B59" s="86"/>
      <c r="C59" s="87"/>
      <c r="D59" s="87"/>
      <c r="E59" s="87"/>
      <c r="H59" s="88"/>
    </row>
    <row r="60" customFormat="false" ht="15.75" hidden="false" customHeight="false" outlineLevel="0" collapsed="false">
      <c r="A60" s="86"/>
      <c r="B60" s="86"/>
      <c r="C60" s="87"/>
      <c r="D60" s="87"/>
      <c r="E60" s="87"/>
      <c r="H60" s="88"/>
    </row>
    <row r="61" customFormat="false" ht="15.75" hidden="false" customHeight="false" outlineLevel="0" collapsed="false">
      <c r="A61" s="86"/>
      <c r="B61" s="86"/>
      <c r="C61" s="87"/>
      <c r="D61" s="87"/>
      <c r="E61" s="87"/>
      <c r="H61" s="88"/>
    </row>
    <row r="62" customFormat="false" ht="15.75" hidden="false" customHeight="false" outlineLevel="0" collapsed="false">
      <c r="A62" s="86"/>
      <c r="B62" s="86"/>
      <c r="C62" s="87"/>
      <c r="D62" s="100"/>
      <c r="E62" s="87"/>
      <c r="H62" s="88"/>
    </row>
    <row r="63" customFormat="false" ht="15.75" hidden="false" customHeight="false" outlineLevel="0" collapsed="false">
      <c r="A63" s="86"/>
      <c r="B63" s="86"/>
      <c r="C63" s="87"/>
      <c r="D63" s="87"/>
      <c r="E63" s="87"/>
      <c r="H63" s="88"/>
    </row>
    <row r="64" customFormat="false" ht="15.75" hidden="false" customHeight="false" outlineLevel="0" collapsed="false">
      <c r="A64" s="86"/>
      <c r="B64" s="86"/>
      <c r="C64" s="87"/>
      <c r="D64" s="87"/>
      <c r="E64" s="87"/>
      <c r="H64" s="88"/>
    </row>
    <row r="65" customFormat="false" ht="15.75" hidden="false" customHeight="false" outlineLevel="0" collapsed="false">
      <c r="A65" s="86"/>
      <c r="B65" s="86"/>
      <c r="C65" s="87"/>
      <c r="D65" s="87"/>
      <c r="E65" s="87"/>
      <c r="H65" s="88"/>
    </row>
    <row r="66" customFormat="false" ht="15.75" hidden="false" customHeight="false" outlineLevel="0" collapsed="false">
      <c r="A66" s="86"/>
      <c r="B66" s="86"/>
      <c r="C66" s="87"/>
      <c r="D66" s="87"/>
      <c r="E66" s="87"/>
      <c r="H66" s="88"/>
    </row>
    <row r="67" customFormat="false" ht="15.75" hidden="false" customHeight="false" outlineLevel="0" collapsed="false">
      <c r="A67" s="86"/>
      <c r="B67" s="86"/>
      <c r="C67" s="87"/>
      <c r="D67" s="87"/>
      <c r="E67" s="87"/>
      <c r="H67" s="88"/>
    </row>
    <row r="68" customFormat="false" ht="15.75" hidden="false" customHeight="false" outlineLevel="0" collapsed="false">
      <c r="A68" s="86"/>
      <c r="B68" s="86"/>
      <c r="C68" s="87"/>
      <c r="D68" s="87"/>
      <c r="E68" s="87"/>
      <c r="H68" s="88"/>
    </row>
    <row r="69" customFormat="false" ht="15.75" hidden="false" customHeight="false" outlineLevel="0" collapsed="false">
      <c r="A69" s="86"/>
      <c r="B69" s="86"/>
      <c r="C69" s="87"/>
      <c r="D69" s="89"/>
      <c r="E69" s="87"/>
      <c r="H69" s="88"/>
    </row>
    <row r="70" customFormat="false" ht="15.75" hidden="false" customHeight="false" outlineLevel="0" collapsed="false">
      <c r="A70" s="86"/>
      <c r="B70" s="86"/>
      <c r="C70" s="87"/>
      <c r="D70" s="87"/>
      <c r="E70" s="87"/>
      <c r="H70" s="88"/>
    </row>
    <row r="71" customFormat="false" ht="15.75" hidden="false" customHeight="false" outlineLevel="0" collapsed="false">
      <c r="A71" s="86"/>
      <c r="B71" s="86"/>
      <c r="C71" s="87"/>
      <c r="D71" s="87"/>
      <c r="E71" s="87"/>
      <c r="H71" s="88"/>
    </row>
    <row r="72" customFormat="false" ht="15.75" hidden="false" customHeight="false" outlineLevel="0" collapsed="false">
      <c r="A72" s="86"/>
      <c r="B72" s="86"/>
      <c r="C72" s="87"/>
      <c r="D72" s="100"/>
      <c r="E72" s="87"/>
      <c r="H72" s="88"/>
    </row>
    <row r="73" customFormat="false" ht="15.75" hidden="false" customHeight="false" outlineLevel="0" collapsed="false">
      <c r="A73" s="86"/>
      <c r="B73" s="86"/>
      <c r="C73" s="87"/>
      <c r="D73" s="87"/>
      <c r="E73" s="87"/>
      <c r="H73" s="88"/>
    </row>
    <row r="74" customFormat="false" ht="15.75" hidden="false" customHeight="false" outlineLevel="0" collapsed="false">
      <c r="A74" s="86"/>
      <c r="B74" s="86"/>
      <c r="C74" s="87"/>
      <c r="D74" s="89"/>
      <c r="E74" s="87"/>
      <c r="H74" s="88"/>
    </row>
    <row r="75" customFormat="false" ht="15.75" hidden="false" customHeight="false" outlineLevel="0" collapsed="false">
      <c r="A75" s="86"/>
      <c r="B75" s="86"/>
      <c r="C75" s="87"/>
      <c r="D75" s="100"/>
      <c r="E75" s="87"/>
      <c r="H75" s="88"/>
    </row>
    <row r="76" customFormat="false" ht="15.75" hidden="false" customHeight="false" outlineLevel="0" collapsed="false">
      <c r="A76" s="86"/>
      <c r="B76" s="86"/>
      <c r="C76" s="87"/>
      <c r="D76" s="89"/>
      <c r="E76" s="87"/>
      <c r="H76" s="88"/>
    </row>
    <row r="77" customFormat="false" ht="15.75" hidden="false" customHeight="false" outlineLevel="0" collapsed="false">
      <c r="A77" s="86"/>
      <c r="B77" s="86"/>
      <c r="C77" s="87"/>
      <c r="D77" s="89"/>
      <c r="E77" s="87"/>
      <c r="H77" s="88"/>
    </row>
    <row r="78" customFormat="false" ht="15.75" hidden="false" customHeight="false" outlineLevel="0" collapsed="false">
      <c r="A78" s="86"/>
      <c r="B78" s="86"/>
      <c r="C78" s="87"/>
      <c r="D78" s="89"/>
      <c r="E78" s="87"/>
      <c r="H78" s="88"/>
    </row>
    <row r="79" customFormat="false" ht="15.75" hidden="false" customHeight="false" outlineLevel="0" collapsed="false">
      <c r="A79" s="86"/>
      <c r="B79" s="86"/>
      <c r="C79" s="87"/>
      <c r="D79" s="87"/>
      <c r="E79" s="87"/>
      <c r="H79" s="88"/>
    </row>
  </sheetData>
  <autoFilter ref="A1:G1000"/>
  <dataValidations count="3">
    <dataValidation allowBlank="true" errorStyle="stop" operator="between" showDropDown="false" showErrorMessage="true" showInputMessage="false" sqref="H2:H9" type="list">
      <formula1>"Juros e PU batem ,Principal e PU batem ,PU não bate ,Juros não bate,Principal não bate"</formula1>
      <formula2>0</formula2>
    </dataValidation>
    <dataValidation allowBlank="true" errorStyle="stop" operator="between" showDropDown="false" showErrorMessage="true" showInputMessage="false" sqref="J2:J9" type="list">
      <formula1>"Bate,Não bate,Escolher "</formula1>
      <formula2>0</formula2>
    </dataValidation>
    <dataValidation allowBlank="true" errorStyle="stop" operator="between" showDropDown="false" showErrorMessage="true" showInputMessage="false" sqref="G2:G9" type="list">
      <formula1>"Feito,Revisar,Pendente,Não Iniciado,Em Andamento"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8.75"/>
    <col collapsed="false" customWidth="true" hidden="false" outlineLevel="0" max="6" min="6" style="0" width="27.38"/>
    <col collapsed="false" customWidth="true" hidden="false" outlineLevel="0" max="7" min="7" style="0" width="15.13"/>
    <col collapsed="false" customWidth="true" hidden="false" outlineLevel="0" max="8" min="8" style="0" width="19.63"/>
    <col collapsed="false" customWidth="true" hidden="false" outlineLevel="0" max="12" min="12" style="0" width="159.25"/>
  </cols>
  <sheetData>
    <row r="1" customFormat="false" ht="15.75" hidden="false" customHeight="false" outlineLevel="0" collapsed="false">
      <c r="A1" s="85" t="s">
        <v>859</v>
      </c>
      <c r="B1" s="85" t="s">
        <v>860</v>
      </c>
      <c r="C1" s="85" t="s">
        <v>861</v>
      </c>
      <c r="D1" s="85" t="s">
        <v>862</v>
      </c>
      <c r="E1" s="85" t="s">
        <v>863</v>
      </c>
      <c r="F1" s="85" t="s">
        <v>864</v>
      </c>
      <c r="G1" s="85" t="s">
        <v>866</v>
      </c>
      <c r="H1" s="51" t="s">
        <v>867</v>
      </c>
      <c r="I1" s="51" t="s">
        <v>868</v>
      </c>
      <c r="J1" s="51" t="s">
        <v>999</v>
      </c>
      <c r="L1" s="51" t="s">
        <v>871</v>
      </c>
    </row>
    <row r="2" customFormat="false" ht="15.75" hidden="false" customHeight="false" outlineLevel="0" collapsed="false">
      <c r="A2" s="43" t="s">
        <v>1088</v>
      </c>
      <c r="B2" s="43" t="s">
        <v>929</v>
      </c>
      <c r="C2" s="96" t="n">
        <v>9.420502</v>
      </c>
      <c r="D2" s="104" t="n">
        <v>12.7154</v>
      </c>
      <c r="E2" s="105" t="n">
        <f aca="false">D2-C2</f>
        <v>3.294898</v>
      </c>
      <c r="G2" s="51" t="s">
        <v>943</v>
      </c>
      <c r="H2" s="88"/>
      <c r="J2" s="51" t="s">
        <v>915</v>
      </c>
      <c r="L2" s="51" t="s">
        <v>875</v>
      </c>
    </row>
    <row r="3" customFormat="false" ht="15.75" hidden="false" customHeight="false" outlineLevel="0" collapsed="false">
      <c r="A3" s="43" t="s">
        <v>1089</v>
      </c>
      <c r="B3" s="43" t="s">
        <v>873</v>
      </c>
      <c r="C3" s="96" t="n">
        <v>9.03204023</v>
      </c>
      <c r="D3" s="104" t="n">
        <v>9.232</v>
      </c>
      <c r="E3" s="105" t="n">
        <f aca="false">D3-C3</f>
        <v>0.19995977</v>
      </c>
      <c r="G3" s="51" t="s">
        <v>943</v>
      </c>
      <c r="H3" s="88"/>
      <c r="J3" s="51" t="s">
        <v>915</v>
      </c>
    </row>
    <row r="4" customFormat="false" ht="15.75" hidden="false" customHeight="false" outlineLevel="0" collapsed="false">
      <c r="A4" s="43" t="s">
        <v>1089</v>
      </c>
      <c r="B4" s="43" t="s">
        <v>876</v>
      </c>
      <c r="C4" s="96" t="n">
        <v>0.18874893</v>
      </c>
      <c r="D4" s="7" t="n">
        <v>0.2017</v>
      </c>
      <c r="E4" s="87" t="n">
        <f aca="false">D4-C4</f>
        <v>0.01295107</v>
      </c>
      <c r="G4" s="51" t="s">
        <v>943</v>
      </c>
      <c r="H4" s="88"/>
      <c r="J4" s="51" t="s">
        <v>915</v>
      </c>
      <c r="L4" s="51" t="s">
        <v>882</v>
      </c>
    </row>
    <row r="5" customFormat="false" ht="15.75" hidden="false" customHeight="false" outlineLevel="0" collapsed="false">
      <c r="A5" s="43" t="s">
        <v>1089</v>
      </c>
      <c r="B5" s="43" t="s">
        <v>883</v>
      </c>
      <c r="C5" s="96" t="n">
        <v>1.50675109</v>
      </c>
      <c r="D5" s="43"/>
      <c r="E5" s="87" t="n">
        <f aca="false">D5-C5</f>
        <v>-1.50675109</v>
      </c>
      <c r="G5" s="51" t="s">
        <v>943</v>
      </c>
      <c r="H5" s="88"/>
      <c r="J5" s="51" t="s">
        <v>915</v>
      </c>
    </row>
    <row r="6" customFormat="false" ht="15.75" hidden="false" customHeight="false" outlineLevel="0" collapsed="false">
      <c r="A6" s="43" t="s">
        <v>1090</v>
      </c>
      <c r="B6" s="43" t="s">
        <v>929</v>
      </c>
      <c r="C6" s="96" t="n">
        <v>4.26926205</v>
      </c>
      <c r="D6" s="7" t="n">
        <v>4.2678</v>
      </c>
      <c r="E6" s="87" t="n">
        <f aca="false">D6-C6</f>
        <v>-0.00146204999999977</v>
      </c>
      <c r="G6" s="51" t="s">
        <v>943</v>
      </c>
      <c r="H6" s="88"/>
      <c r="J6" s="9"/>
    </row>
    <row r="7" customFormat="false" ht="15.75" hidden="false" customHeight="false" outlineLevel="0" collapsed="false">
      <c r="A7" s="43" t="s">
        <v>1090</v>
      </c>
      <c r="B7" s="43" t="s">
        <v>883</v>
      </c>
      <c r="C7" s="96" t="n">
        <v>99.1322872</v>
      </c>
      <c r="D7" s="7" t="n">
        <v>99.0976</v>
      </c>
      <c r="E7" s="87" t="n">
        <f aca="false">D7-C7</f>
        <v>-0.0346871999999934</v>
      </c>
      <c r="G7" s="51" t="s">
        <v>943</v>
      </c>
      <c r="H7" s="88"/>
      <c r="J7" s="9"/>
    </row>
    <row r="8" customFormat="false" ht="15.75" hidden="false" customHeight="false" outlineLevel="0" collapsed="false">
      <c r="A8" s="43"/>
      <c r="B8" s="43"/>
      <c r="C8" s="96"/>
      <c r="D8" s="43"/>
      <c r="E8" s="87"/>
      <c r="G8" s="9"/>
      <c r="H8" s="88"/>
      <c r="J8" s="9"/>
    </row>
    <row r="9" customFormat="false" ht="15.75" hidden="false" customHeight="false" outlineLevel="0" collapsed="false">
      <c r="A9" s="43"/>
      <c r="B9" s="43"/>
      <c r="C9" s="96"/>
      <c r="D9" s="7"/>
      <c r="E9" s="87"/>
      <c r="G9" s="9"/>
      <c r="H9" s="88"/>
      <c r="J9" s="9"/>
    </row>
    <row r="10" customFormat="false" ht="15.75" hidden="false" customHeight="false" outlineLevel="0" collapsed="false">
      <c r="A10" s="98"/>
      <c r="B10" s="98"/>
      <c r="C10" s="96"/>
      <c r="D10" s="43"/>
      <c r="E10" s="87"/>
      <c r="G10" s="9"/>
      <c r="H10" s="88"/>
      <c r="J10" s="9"/>
    </row>
    <row r="11" customFormat="false" ht="15.75" hidden="false" customHeight="false" outlineLevel="0" collapsed="false">
      <c r="A11" s="98"/>
      <c r="B11" s="98"/>
      <c r="C11" s="96"/>
      <c r="D11" s="43"/>
      <c r="E11" s="87"/>
      <c r="G11" s="9"/>
      <c r="H11" s="88"/>
      <c r="J11" s="9"/>
    </row>
    <row r="12" customFormat="false" ht="15.75" hidden="false" customHeight="false" outlineLevel="0" collapsed="false">
      <c r="A12" s="43"/>
      <c r="B12" s="43"/>
      <c r="C12" s="96"/>
      <c r="D12" s="43"/>
      <c r="E12" s="87"/>
      <c r="G12" s="9"/>
      <c r="H12" s="88"/>
      <c r="J12" s="9"/>
    </row>
    <row r="13" customFormat="false" ht="15.75" hidden="false" customHeight="false" outlineLevel="0" collapsed="false">
      <c r="A13" s="43"/>
      <c r="B13" s="43"/>
      <c r="C13" s="96"/>
      <c r="D13" s="43"/>
      <c r="E13" s="87"/>
      <c r="G13" s="9"/>
      <c r="H13" s="88"/>
      <c r="J13" s="9"/>
    </row>
    <row r="14" customFormat="false" ht="15.75" hidden="false" customHeight="false" outlineLevel="0" collapsed="false">
      <c r="A14" s="43"/>
      <c r="B14" s="43"/>
      <c r="C14" s="96"/>
      <c r="E14" s="87"/>
      <c r="G14" s="9"/>
      <c r="H14" s="88"/>
      <c r="J14" s="9"/>
    </row>
    <row r="15" customFormat="false" ht="15.75" hidden="false" customHeight="false" outlineLevel="0" collapsed="false">
      <c r="A15" s="43"/>
      <c r="B15" s="43"/>
      <c r="C15" s="96"/>
      <c r="G15" s="9"/>
      <c r="H15" s="88"/>
      <c r="J15" s="9"/>
    </row>
    <row r="16" customFormat="false" ht="15.75" hidden="false" customHeight="false" outlineLevel="0" collapsed="false">
      <c r="A16" s="43"/>
      <c r="B16" s="43"/>
      <c r="C16" s="96"/>
      <c r="G16" s="9"/>
      <c r="H16" s="88"/>
      <c r="J16" s="9"/>
    </row>
    <row r="17" customFormat="false" ht="15.75" hidden="false" customHeight="false" outlineLevel="0" collapsed="false">
      <c r="A17" s="43"/>
      <c r="B17" s="43"/>
      <c r="C17" s="96"/>
      <c r="G17" s="9"/>
      <c r="H17" s="88"/>
      <c r="J17" s="9"/>
    </row>
    <row r="18" customFormat="false" ht="15.75" hidden="false" customHeight="false" outlineLevel="0" collapsed="false">
      <c r="A18" s="43"/>
      <c r="B18" s="43"/>
      <c r="C18" s="96"/>
      <c r="G18" s="9"/>
      <c r="H18" s="88"/>
      <c r="J18" s="9"/>
    </row>
    <row r="19" customFormat="false" ht="15.75" hidden="false" customHeight="false" outlineLevel="0" collapsed="false">
      <c r="A19" s="43"/>
      <c r="B19" s="43"/>
      <c r="C19" s="96"/>
      <c r="G19" s="9"/>
      <c r="H19" s="88"/>
      <c r="J19" s="9"/>
    </row>
    <row r="20" customFormat="false" ht="15.75" hidden="false" customHeight="false" outlineLevel="0" collapsed="false">
      <c r="A20" s="43"/>
      <c r="B20" s="43"/>
      <c r="C20" s="96"/>
      <c r="G20" s="9"/>
      <c r="H20" s="88"/>
      <c r="J20" s="9"/>
    </row>
    <row r="21" customFormat="false" ht="15.75" hidden="false" customHeight="false" outlineLevel="0" collapsed="false">
      <c r="A21" s="43"/>
      <c r="B21" s="43"/>
      <c r="C21" s="96"/>
      <c r="G21" s="9"/>
      <c r="H21" s="88"/>
      <c r="J21" s="9"/>
    </row>
    <row r="22" customFormat="false" ht="15.75" hidden="false" customHeight="false" outlineLevel="0" collapsed="false">
      <c r="A22" s="43"/>
      <c r="B22" s="43"/>
      <c r="C22" s="96"/>
      <c r="G22" s="9"/>
      <c r="H22" s="88"/>
      <c r="J22" s="9"/>
    </row>
    <row r="23" customFormat="false" ht="15.75" hidden="false" customHeight="false" outlineLevel="0" collapsed="false">
      <c r="A23" s="43"/>
      <c r="B23" s="43"/>
      <c r="C23" s="96"/>
      <c r="G23" s="9"/>
      <c r="H23" s="88"/>
      <c r="J23" s="9"/>
    </row>
    <row r="24" customFormat="false" ht="15.75" hidden="false" customHeight="false" outlineLevel="0" collapsed="false">
      <c r="A24" s="43"/>
      <c r="B24" s="43"/>
      <c r="C24" s="96"/>
      <c r="G24" s="9"/>
      <c r="H24" s="88"/>
      <c r="J24" s="9"/>
    </row>
    <row r="25" customFormat="false" ht="15.75" hidden="false" customHeight="false" outlineLevel="0" collapsed="false">
      <c r="A25" s="43"/>
      <c r="B25" s="43"/>
      <c r="C25" s="96"/>
      <c r="G25" s="9"/>
      <c r="H25" s="88"/>
      <c r="J25" s="9"/>
    </row>
    <row r="26" customFormat="false" ht="15.75" hidden="false" customHeight="false" outlineLevel="0" collapsed="false">
      <c r="A26" s="43"/>
      <c r="B26" s="43"/>
      <c r="C26" s="96"/>
      <c r="G26" s="9"/>
      <c r="H26" s="88"/>
      <c r="J26" s="9"/>
    </row>
    <row r="27" customFormat="false" ht="15.75" hidden="false" customHeight="false" outlineLevel="0" collapsed="false">
      <c r="A27" s="43"/>
      <c r="B27" s="43"/>
      <c r="C27" s="96"/>
      <c r="G27" s="9"/>
      <c r="H27" s="88"/>
      <c r="J27" s="9"/>
    </row>
    <row r="28" customFormat="false" ht="15.75" hidden="false" customHeight="false" outlineLevel="0" collapsed="false">
      <c r="A28" s="43"/>
      <c r="B28" s="43"/>
      <c r="C28" s="96"/>
      <c r="G28" s="9"/>
      <c r="H28" s="88"/>
      <c r="J28" s="9"/>
    </row>
    <row r="29" customFormat="false" ht="15.75" hidden="false" customHeight="false" outlineLevel="0" collapsed="false">
      <c r="G29" s="9"/>
      <c r="H29" s="88"/>
      <c r="J29" s="9"/>
    </row>
    <row r="30" customFormat="false" ht="15.75" hidden="false" customHeight="false" outlineLevel="0" collapsed="false">
      <c r="G30" s="9"/>
      <c r="H30" s="88"/>
      <c r="J30" s="9"/>
    </row>
    <row r="31" customFormat="false" ht="15.75" hidden="false" customHeight="false" outlineLevel="0" collapsed="false">
      <c r="G31" s="9"/>
      <c r="H31" s="88"/>
      <c r="J31" s="9"/>
    </row>
    <row r="32" customFormat="false" ht="15.75" hidden="false" customHeight="false" outlineLevel="0" collapsed="false">
      <c r="G32" s="9"/>
      <c r="H32" s="88"/>
      <c r="J32" s="9"/>
    </row>
    <row r="33" customFormat="false" ht="15.75" hidden="false" customHeight="false" outlineLevel="0" collapsed="false">
      <c r="A33" s="86"/>
      <c r="B33" s="86"/>
      <c r="C33" s="87"/>
      <c r="G33" s="9"/>
      <c r="H33" s="88"/>
      <c r="J33" s="9"/>
    </row>
    <row r="34" customFormat="false" ht="15.75" hidden="false" customHeight="false" outlineLevel="0" collapsed="false">
      <c r="A34" s="86"/>
      <c r="B34" s="86"/>
      <c r="C34" s="87"/>
      <c r="D34" s="87"/>
      <c r="E34" s="87"/>
      <c r="G34" s="9"/>
      <c r="H34" s="88"/>
      <c r="J34" s="9"/>
    </row>
    <row r="35" customFormat="false" ht="15.75" hidden="false" customHeight="false" outlineLevel="0" collapsed="false">
      <c r="A35" s="86"/>
      <c r="B35" s="86"/>
      <c r="C35" s="87"/>
      <c r="D35" s="89"/>
      <c r="E35" s="87"/>
      <c r="G35" s="9"/>
      <c r="H35" s="88"/>
      <c r="J35" s="9"/>
    </row>
    <row r="36" customFormat="false" ht="15.75" hidden="false" customHeight="false" outlineLevel="0" collapsed="false">
      <c r="A36" s="86"/>
      <c r="B36" s="86"/>
      <c r="C36" s="87"/>
      <c r="D36" s="89"/>
      <c r="E36" s="87"/>
      <c r="G36" s="9"/>
      <c r="H36" s="88"/>
      <c r="J36" s="9"/>
    </row>
    <row r="37" customFormat="false" ht="15.75" hidden="false" customHeight="false" outlineLevel="0" collapsed="false">
      <c r="A37" s="86"/>
      <c r="B37" s="86"/>
      <c r="C37" s="87"/>
      <c r="D37" s="89"/>
      <c r="E37" s="87"/>
      <c r="G37" s="9"/>
      <c r="H37" s="88"/>
      <c r="J37" s="9"/>
    </row>
    <row r="38" customFormat="false" ht="15.75" hidden="false" customHeight="false" outlineLevel="0" collapsed="false">
      <c r="A38" s="86"/>
      <c r="B38" s="86"/>
      <c r="C38" s="87"/>
      <c r="D38" s="87"/>
      <c r="E38" s="87"/>
      <c r="G38" s="9"/>
      <c r="H38" s="88"/>
      <c r="J38" s="9"/>
    </row>
    <row r="39" customFormat="false" ht="15.75" hidden="false" customHeight="false" outlineLevel="0" collapsed="false">
      <c r="A39" s="86"/>
      <c r="B39" s="86"/>
      <c r="C39" s="87"/>
      <c r="D39" s="87"/>
      <c r="E39" s="87"/>
      <c r="G39" s="9"/>
      <c r="H39" s="88"/>
      <c r="J39" s="9"/>
    </row>
    <row r="40" customFormat="false" ht="15.75" hidden="false" customHeight="false" outlineLevel="0" collapsed="false">
      <c r="A40" s="86"/>
      <c r="B40" s="86"/>
      <c r="C40" s="87"/>
      <c r="D40" s="89"/>
      <c r="E40" s="87"/>
      <c r="G40" s="9"/>
      <c r="H40" s="88"/>
      <c r="J40" s="9"/>
    </row>
    <row r="41" customFormat="false" ht="15.75" hidden="false" customHeight="false" outlineLevel="0" collapsed="false">
      <c r="A41" s="86"/>
      <c r="B41" s="86"/>
      <c r="C41" s="87"/>
      <c r="D41" s="89"/>
      <c r="E41" s="87"/>
      <c r="G41" s="9"/>
      <c r="H41" s="88"/>
      <c r="J41" s="9"/>
    </row>
    <row r="42" customFormat="false" ht="15.75" hidden="false" customHeight="false" outlineLevel="0" collapsed="false">
      <c r="A42" s="86"/>
      <c r="B42" s="86"/>
      <c r="C42" s="87"/>
      <c r="D42" s="89"/>
      <c r="E42" s="87"/>
      <c r="G42" s="9"/>
      <c r="H42" s="88"/>
      <c r="J42" s="9"/>
    </row>
    <row r="43" customFormat="false" ht="15.75" hidden="false" customHeight="false" outlineLevel="0" collapsed="false">
      <c r="A43" s="86"/>
      <c r="B43" s="86"/>
      <c r="C43" s="87"/>
      <c r="D43" s="89"/>
      <c r="E43" s="87"/>
      <c r="G43" s="9"/>
      <c r="H43" s="88"/>
      <c r="J43" s="9"/>
    </row>
    <row r="44" customFormat="false" ht="15.75" hidden="false" customHeight="false" outlineLevel="0" collapsed="false">
      <c r="A44" s="86"/>
      <c r="B44" s="86"/>
      <c r="C44" s="87"/>
      <c r="D44" s="100"/>
      <c r="E44" s="87"/>
      <c r="G44" s="9"/>
      <c r="H44" s="88"/>
      <c r="J44" s="9"/>
    </row>
    <row r="45" customFormat="false" ht="15.75" hidden="false" customHeight="false" outlineLevel="0" collapsed="false">
      <c r="A45" s="86"/>
      <c r="B45" s="86"/>
      <c r="C45" s="87"/>
      <c r="D45" s="100"/>
      <c r="E45" s="87"/>
      <c r="G45" s="9"/>
      <c r="H45" s="88"/>
      <c r="J45" s="9"/>
    </row>
    <row r="46" customFormat="false" ht="15.75" hidden="false" customHeight="false" outlineLevel="0" collapsed="false">
      <c r="A46" s="86"/>
      <c r="B46" s="86"/>
      <c r="C46" s="87"/>
      <c r="D46" s="89"/>
      <c r="E46" s="87"/>
      <c r="G46" s="9"/>
      <c r="H46" s="88"/>
      <c r="J46" s="9"/>
    </row>
    <row r="47" customFormat="false" ht="15.75" hidden="false" customHeight="false" outlineLevel="0" collapsed="false">
      <c r="A47" s="86"/>
      <c r="B47" s="86"/>
      <c r="C47" s="87"/>
      <c r="D47" s="89"/>
      <c r="E47" s="87"/>
      <c r="G47" s="9"/>
      <c r="H47" s="88"/>
      <c r="J47" s="9"/>
    </row>
    <row r="48" customFormat="false" ht="15.75" hidden="false" customHeight="false" outlineLevel="0" collapsed="false">
      <c r="A48" s="86"/>
      <c r="B48" s="86"/>
      <c r="C48" s="87"/>
      <c r="D48" s="87"/>
      <c r="E48" s="87"/>
      <c r="G48" s="9"/>
      <c r="H48" s="88"/>
      <c r="J48" s="9"/>
    </row>
    <row r="49" customFormat="false" ht="15.75" hidden="false" customHeight="false" outlineLevel="0" collapsed="false">
      <c r="A49" s="86"/>
      <c r="B49" s="86"/>
      <c r="C49" s="87"/>
      <c r="D49" s="87"/>
      <c r="E49" s="87"/>
      <c r="G49" s="9"/>
      <c r="H49" s="88"/>
      <c r="J49" s="9"/>
    </row>
    <row r="50" customFormat="false" ht="15.75" hidden="false" customHeight="false" outlineLevel="0" collapsed="false">
      <c r="A50" s="86"/>
      <c r="B50" s="86"/>
      <c r="C50" s="87"/>
      <c r="D50" s="89"/>
      <c r="E50" s="87"/>
      <c r="G50" s="9"/>
      <c r="H50" s="88"/>
      <c r="J50" s="9"/>
    </row>
    <row r="51" customFormat="false" ht="15.75" hidden="false" customHeight="false" outlineLevel="0" collapsed="false">
      <c r="A51" s="86"/>
      <c r="B51" s="86"/>
      <c r="C51" s="87"/>
      <c r="D51" s="100"/>
      <c r="E51" s="87"/>
      <c r="G51" s="9"/>
      <c r="H51" s="88"/>
      <c r="J51" s="9"/>
    </row>
    <row r="52" customFormat="false" ht="15.75" hidden="false" customHeight="false" outlineLevel="0" collapsed="false">
      <c r="A52" s="86"/>
      <c r="B52" s="86"/>
      <c r="C52" s="87"/>
      <c r="D52" s="100"/>
      <c r="E52" s="87"/>
      <c r="G52" s="9"/>
      <c r="H52" s="88"/>
      <c r="J52" s="9"/>
    </row>
    <row r="53" customFormat="false" ht="15.75" hidden="false" customHeight="false" outlineLevel="0" collapsed="false">
      <c r="A53" s="86"/>
      <c r="B53" s="86"/>
      <c r="C53" s="87"/>
      <c r="D53" s="100"/>
      <c r="E53" s="87"/>
      <c r="G53" s="9"/>
      <c r="H53" s="88"/>
      <c r="J53" s="9"/>
    </row>
    <row r="54" customFormat="false" ht="15.75" hidden="false" customHeight="false" outlineLevel="0" collapsed="false">
      <c r="A54" s="86"/>
      <c r="B54" s="86"/>
      <c r="C54" s="87"/>
      <c r="D54" s="100"/>
      <c r="E54" s="87"/>
      <c r="G54" s="9"/>
      <c r="H54" s="88"/>
      <c r="J54" s="9"/>
    </row>
    <row r="55" customFormat="false" ht="15.75" hidden="false" customHeight="false" outlineLevel="0" collapsed="false">
      <c r="A55" s="86"/>
      <c r="B55" s="86"/>
      <c r="C55" s="87"/>
      <c r="D55" s="100"/>
      <c r="E55" s="87"/>
      <c r="G55" s="9"/>
      <c r="H55" s="88"/>
      <c r="J55" s="9"/>
    </row>
    <row r="56" customFormat="false" ht="15.75" hidden="false" customHeight="false" outlineLevel="0" collapsed="false">
      <c r="A56" s="86"/>
      <c r="B56" s="86"/>
      <c r="C56" s="87"/>
      <c r="D56" s="87"/>
      <c r="E56" s="87"/>
      <c r="G56" s="9"/>
      <c r="H56" s="88"/>
      <c r="J56" s="9"/>
    </row>
    <row r="57" customFormat="false" ht="15.75" hidden="false" customHeight="false" outlineLevel="0" collapsed="false">
      <c r="A57" s="86"/>
      <c r="B57" s="86"/>
      <c r="C57" s="87"/>
      <c r="D57" s="87"/>
      <c r="E57" s="87"/>
      <c r="G57" s="9"/>
      <c r="H57" s="88"/>
      <c r="J57" s="9"/>
    </row>
    <row r="58" customFormat="false" ht="15.75" hidden="false" customHeight="false" outlineLevel="0" collapsed="false">
      <c r="A58" s="86"/>
      <c r="B58" s="86"/>
      <c r="C58" s="87"/>
      <c r="D58" s="89"/>
      <c r="E58" s="87"/>
      <c r="G58" s="9"/>
      <c r="H58" s="88"/>
      <c r="J58" s="9"/>
    </row>
    <row r="59" customFormat="false" ht="15.75" hidden="false" customHeight="false" outlineLevel="0" collapsed="false">
      <c r="A59" s="86"/>
      <c r="B59" s="86"/>
      <c r="C59" s="87"/>
      <c r="D59" s="87"/>
      <c r="E59" s="87"/>
      <c r="G59" s="9"/>
      <c r="H59" s="88"/>
      <c r="J59" s="9"/>
    </row>
    <row r="60" customFormat="false" ht="15.75" hidden="false" customHeight="false" outlineLevel="0" collapsed="false">
      <c r="A60" s="86"/>
      <c r="B60" s="86"/>
      <c r="C60" s="87"/>
      <c r="D60" s="87"/>
      <c r="E60" s="87"/>
      <c r="G60" s="9"/>
      <c r="H60" s="88"/>
      <c r="J60" s="9"/>
    </row>
    <row r="61" customFormat="false" ht="15.75" hidden="false" customHeight="false" outlineLevel="0" collapsed="false">
      <c r="A61" s="86"/>
      <c r="B61" s="86"/>
      <c r="C61" s="87"/>
      <c r="D61" s="87"/>
      <c r="E61" s="87"/>
      <c r="G61" s="9"/>
      <c r="H61" s="88"/>
      <c r="J61" s="9"/>
    </row>
    <row r="62" customFormat="false" ht="15.75" hidden="false" customHeight="false" outlineLevel="0" collapsed="false">
      <c r="A62" s="86"/>
      <c r="B62" s="86"/>
      <c r="C62" s="87"/>
      <c r="D62" s="100"/>
      <c r="E62" s="87"/>
      <c r="G62" s="9"/>
      <c r="H62" s="88"/>
      <c r="J62" s="9"/>
    </row>
    <row r="63" customFormat="false" ht="15.75" hidden="false" customHeight="false" outlineLevel="0" collapsed="false">
      <c r="A63" s="86"/>
      <c r="B63" s="86"/>
      <c r="C63" s="87"/>
      <c r="D63" s="87"/>
      <c r="E63" s="87"/>
      <c r="G63" s="9"/>
      <c r="H63" s="88"/>
      <c r="J63" s="9"/>
    </row>
    <row r="64" customFormat="false" ht="15.75" hidden="false" customHeight="false" outlineLevel="0" collapsed="false">
      <c r="A64" s="86"/>
      <c r="B64" s="86"/>
      <c r="C64" s="87"/>
      <c r="D64" s="87"/>
      <c r="E64" s="87"/>
      <c r="G64" s="9"/>
      <c r="H64" s="88"/>
      <c r="J64" s="9"/>
    </row>
    <row r="65" customFormat="false" ht="15.75" hidden="false" customHeight="false" outlineLevel="0" collapsed="false">
      <c r="A65" s="86"/>
      <c r="B65" s="86"/>
      <c r="C65" s="87"/>
      <c r="D65" s="87"/>
      <c r="E65" s="87"/>
      <c r="G65" s="9"/>
      <c r="H65" s="88"/>
      <c r="J65" s="9"/>
    </row>
    <row r="66" customFormat="false" ht="15.75" hidden="false" customHeight="false" outlineLevel="0" collapsed="false">
      <c r="A66" s="86"/>
      <c r="B66" s="86"/>
      <c r="C66" s="87"/>
      <c r="D66" s="87"/>
      <c r="E66" s="87"/>
      <c r="G66" s="9"/>
      <c r="H66" s="88"/>
      <c r="J66" s="9"/>
    </row>
    <row r="67" customFormat="false" ht="15.75" hidden="false" customHeight="false" outlineLevel="0" collapsed="false">
      <c r="A67" s="86"/>
      <c r="B67" s="86"/>
      <c r="C67" s="87"/>
      <c r="D67" s="87"/>
      <c r="E67" s="87"/>
      <c r="G67" s="9"/>
      <c r="H67" s="88"/>
      <c r="J67" s="9"/>
    </row>
    <row r="68" customFormat="false" ht="15.75" hidden="false" customHeight="false" outlineLevel="0" collapsed="false">
      <c r="A68" s="86"/>
      <c r="B68" s="86"/>
      <c r="C68" s="87"/>
      <c r="D68" s="87"/>
      <c r="E68" s="87"/>
      <c r="G68" s="9"/>
      <c r="H68" s="88"/>
      <c r="J68" s="9"/>
    </row>
    <row r="69" customFormat="false" ht="15.75" hidden="false" customHeight="false" outlineLevel="0" collapsed="false">
      <c r="A69" s="86"/>
      <c r="B69" s="86"/>
      <c r="C69" s="87"/>
      <c r="D69" s="89"/>
      <c r="E69" s="87"/>
      <c r="G69" s="9"/>
      <c r="H69" s="88"/>
      <c r="J69" s="9"/>
    </row>
    <row r="70" customFormat="false" ht="15.75" hidden="false" customHeight="false" outlineLevel="0" collapsed="false">
      <c r="A70" s="86"/>
      <c r="B70" s="86"/>
      <c r="C70" s="87"/>
      <c r="D70" s="87"/>
      <c r="E70" s="87"/>
      <c r="G70" s="9"/>
      <c r="H70" s="88"/>
      <c r="J70" s="9"/>
    </row>
    <row r="71" customFormat="false" ht="15.75" hidden="false" customHeight="false" outlineLevel="0" collapsed="false">
      <c r="A71" s="86"/>
      <c r="B71" s="86"/>
      <c r="C71" s="87"/>
      <c r="D71" s="87"/>
      <c r="E71" s="87"/>
      <c r="G71" s="9"/>
      <c r="H71" s="88"/>
      <c r="J71" s="9"/>
    </row>
    <row r="72" customFormat="false" ht="15.75" hidden="false" customHeight="false" outlineLevel="0" collapsed="false">
      <c r="A72" s="86"/>
      <c r="B72" s="86"/>
      <c r="C72" s="87"/>
      <c r="D72" s="100"/>
      <c r="E72" s="87"/>
      <c r="G72" s="9"/>
      <c r="H72" s="88"/>
      <c r="J72" s="9"/>
    </row>
    <row r="73" customFormat="false" ht="15.75" hidden="false" customHeight="false" outlineLevel="0" collapsed="false">
      <c r="A73" s="86"/>
      <c r="B73" s="86"/>
      <c r="C73" s="87"/>
      <c r="D73" s="87"/>
      <c r="E73" s="87"/>
      <c r="G73" s="9"/>
      <c r="H73" s="88"/>
      <c r="J73" s="9"/>
    </row>
    <row r="74" customFormat="false" ht="15.75" hidden="false" customHeight="false" outlineLevel="0" collapsed="false">
      <c r="A74" s="86"/>
      <c r="B74" s="86"/>
      <c r="C74" s="87"/>
      <c r="D74" s="89"/>
      <c r="E74" s="87"/>
      <c r="G74" s="9"/>
      <c r="H74" s="88"/>
      <c r="J74" s="9"/>
    </row>
    <row r="75" customFormat="false" ht="15.75" hidden="false" customHeight="false" outlineLevel="0" collapsed="false">
      <c r="A75" s="86"/>
      <c r="B75" s="86"/>
      <c r="C75" s="87"/>
      <c r="D75" s="100"/>
      <c r="E75" s="87"/>
      <c r="G75" s="9"/>
      <c r="H75" s="88"/>
      <c r="J75" s="9"/>
    </row>
    <row r="76" customFormat="false" ht="15.75" hidden="false" customHeight="false" outlineLevel="0" collapsed="false">
      <c r="A76" s="86"/>
      <c r="B76" s="86"/>
      <c r="C76" s="87"/>
      <c r="D76" s="89"/>
      <c r="E76" s="87"/>
      <c r="G76" s="9"/>
      <c r="H76" s="88"/>
      <c r="J76" s="9"/>
    </row>
    <row r="77" customFormat="false" ht="15.75" hidden="false" customHeight="false" outlineLevel="0" collapsed="false">
      <c r="A77" s="86"/>
      <c r="B77" s="86"/>
      <c r="C77" s="87"/>
      <c r="D77" s="89"/>
      <c r="E77" s="87"/>
      <c r="G77" s="9"/>
      <c r="H77" s="88"/>
      <c r="J77" s="9"/>
    </row>
    <row r="78" customFormat="false" ht="15.75" hidden="false" customHeight="false" outlineLevel="0" collapsed="false">
      <c r="A78" s="86"/>
      <c r="B78" s="86"/>
      <c r="C78" s="87"/>
      <c r="D78" s="89"/>
      <c r="E78" s="87"/>
      <c r="G78" s="9"/>
      <c r="H78" s="88"/>
      <c r="J78" s="9"/>
    </row>
    <row r="79" customFormat="false" ht="15.75" hidden="false" customHeight="false" outlineLevel="0" collapsed="false">
      <c r="A79" s="86"/>
      <c r="B79" s="86"/>
      <c r="C79" s="87"/>
      <c r="D79" s="87"/>
      <c r="E79" s="87"/>
      <c r="G79" s="9"/>
      <c r="H79" s="88"/>
      <c r="J79" s="9"/>
    </row>
  </sheetData>
  <autoFilter ref="A1:G1000"/>
  <dataValidations count="3">
    <dataValidation allowBlank="true" errorStyle="stop" operator="between" showDropDown="false" showErrorMessage="true" showInputMessage="false" sqref="H2:H79" type="list">
      <formula1>"Juros e PU batem ,Principal e PU batem ,PU não bate ,Juros não bate,Principal não bate"</formula1>
      <formula2>0</formula2>
    </dataValidation>
    <dataValidation allowBlank="true" errorStyle="stop" operator="between" showDropDown="false" showErrorMessage="true" showInputMessage="false" sqref="J2:J79" type="list">
      <formula1>"Bate,Não bate,Escolher "</formula1>
      <formula2>0</formula2>
    </dataValidation>
    <dataValidation allowBlank="true" errorStyle="stop" operator="between" showDropDown="false" showErrorMessage="true" showInputMessage="false" sqref="G2:G79" type="list">
      <formula1>"Feito,Revisar,Pendente,Não Iniciado,Em Andamento"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2026-09-09T08:53:01Z</dcterms:modified>
  <cp:revision>1</cp:revision>
  <dc:subject/>
  <dc:title/>
</cp:coreProperties>
</file>